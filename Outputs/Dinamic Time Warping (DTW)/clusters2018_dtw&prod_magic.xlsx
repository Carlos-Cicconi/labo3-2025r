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Repositorios-Ing.Carlos-Cicconi\labo3-2025r\Outputs\Dinamic Time Warping (DTW)\"/>
    </mc:Choice>
  </mc:AlternateContent>
  <xr:revisionPtr revIDLastSave="0" documentId="13_ncr:1_{5C3EF2DB-6A4F-45F7-9ABB-853B30AF9E41}" xr6:coauthVersionLast="47" xr6:coauthVersionMax="47" xr10:uidLastSave="{00000000-0000-0000-0000-000000000000}"/>
  <bookViews>
    <workbookView xWindow="-120" yWindow="-120" windowWidth="20730" windowHeight="11160" xr2:uid="{8296AF15-5D41-4D82-B84C-935D801E8732}"/>
  </bookViews>
  <sheets>
    <sheet name="780 a pred" sheetId="1" r:id="rId1"/>
    <sheet name="33 magicos" sheetId="2" r:id="rId2"/>
  </sheets>
  <definedNames>
    <definedName name="_xlnm._FilterDatabase" localSheetId="1" hidden="1">'33 magicos'!$A$1:$C$1</definedName>
    <definedName name="_xlnm._FilterDatabase" localSheetId="0" hidden="1">'780 a pred'!$A$1:$F$781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7" i="1"/>
  <c r="F258" i="1"/>
  <c r="F259" i="1"/>
  <c r="F262" i="1"/>
  <c r="F264" i="1"/>
  <c r="F268" i="1"/>
  <c r="F269" i="1"/>
  <c r="F271" i="1"/>
  <c r="F278" i="1"/>
  <c r="F279" i="1"/>
  <c r="F280" i="1"/>
  <c r="F282" i="1"/>
  <c r="F284" i="1"/>
  <c r="F286" i="1"/>
  <c r="F289" i="1"/>
  <c r="F290" i="1"/>
  <c r="F291" i="1"/>
  <c r="F292" i="1"/>
  <c r="F297" i="1"/>
  <c r="F300" i="1"/>
  <c r="F303" i="1"/>
  <c r="F305" i="1"/>
  <c r="F307" i="1"/>
  <c r="F311" i="1"/>
  <c r="F312" i="1"/>
  <c r="F314" i="1"/>
  <c r="F315" i="1"/>
  <c r="F316" i="1"/>
  <c r="F319" i="1"/>
  <c r="F320" i="1"/>
  <c r="F321" i="1"/>
  <c r="F322" i="1"/>
  <c r="F327" i="1"/>
  <c r="F328" i="1"/>
  <c r="F330" i="1"/>
  <c r="F332" i="1"/>
  <c r="F333" i="1"/>
  <c r="F335" i="1"/>
  <c r="F336" i="1"/>
  <c r="F337" i="1"/>
  <c r="F338" i="1"/>
  <c r="F340" i="1"/>
  <c r="F341" i="1"/>
  <c r="F342" i="1"/>
  <c r="F344" i="1"/>
  <c r="F346" i="1"/>
  <c r="F347" i="1"/>
  <c r="F349" i="1"/>
  <c r="F350" i="1"/>
  <c r="F351" i="1"/>
  <c r="F353" i="1"/>
  <c r="F354" i="1"/>
  <c r="F356" i="1"/>
  <c r="F359" i="1"/>
  <c r="F360" i="1"/>
  <c r="F361" i="1"/>
  <c r="F362" i="1"/>
  <c r="F363" i="1"/>
  <c r="F365" i="1"/>
  <c r="F366" i="1"/>
  <c r="F368" i="1"/>
  <c r="F372" i="1"/>
  <c r="F373" i="1"/>
  <c r="F375" i="1"/>
  <c r="F376" i="1"/>
  <c r="F377" i="1"/>
  <c r="F380" i="1"/>
  <c r="F381" i="1"/>
  <c r="F383" i="1"/>
  <c r="F384" i="1"/>
  <c r="F386" i="1"/>
  <c r="F388" i="1"/>
  <c r="F389" i="1"/>
  <c r="F391" i="1"/>
  <c r="F392" i="1"/>
  <c r="F393" i="1"/>
  <c r="F394" i="1"/>
  <c r="F396" i="1"/>
  <c r="F400" i="1"/>
  <c r="F404" i="1"/>
  <c r="F405" i="1"/>
  <c r="F406" i="1"/>
  <c r="F407" i="1"/>
  <c r="F408" i="1"/>
  <c r="F410" i="1"/>
  <c r="F414" i="1"/>
  <c r="F416" i="1"/>
  <c r="F417" i="1"/>
  <c r="F419" i="1"/>
  <c r="F420" i="1"/>
  <c r="F421" i="1"/>
  <c r="F429" i="1"/>
  <c r="F433" i="1"/>
  <c r="F436" i="1"/>
  <c r="F439" i="1"/>
  <c r="F443" i="1"/>
  <c r="F445" i="1"/>
  <c r="F448" i="1"/>
  <c r="F453" i="1"/>
  <c r="F457" i="1"/>
  <c r="F469" i="1"/>
  <c r="F474" i="1"/>
  <c r="F487" i="1"/>
  <c r="F490" i="1"/>
  <c r="F491" i="1"/>
  <c r="F493" i="1"/>
  <c r="F495" i="1"/>
  <c r="F497" i="1"/>
  <c r="F498" i="1"/>
  <c r="F501" i="1"/>
  <c r="F502" i="1"/>
  <c r="F504" i="1"/>
  <c r="F506" i="1"/>
  <c r="F507" i="1"/>
  <c r="F508" i="1"/>
  <c r="F511" i="1"/>
  <c r="F512" i="1"/>
  <c r="F513" i="1"/>
  <c r="F516" i="1"/>
  <c r="F517" i="1"/>
  <c r="F518" i="1"/>
  <c r="F519" i="1"/>
  <c r="F521" i="1"/>
  <c r="F523" i="1"/>
  <c r="F524" i="1"/>
  <c r="F534" i="1"/>
  <c r="F535" i="1"/>
  <c r="F537" i="1"/>
  <c r="F539" i="1"/>
  <c r="F541" i="1"/>
  <c r="F542" i="1"/>
  <c r="F543" i="1"/>
  <c r="F544" i="1"/>
  <c r="F552" i="1"/>
  <c r="F554" i="1"/>
  <c r="F557" i="1"/>
  <c r="F562" i="1"/>
  <c r="F563" i="1"/>
  <c r="F566" i="1"/>
  <c r="F577" i="1"/>
  <c r="F583" i="1"/>
  <c r="F590" i="1"/>
  <c r="F593" i="1"/>
  <c r="F594" i="1"/>
  <c r="F595" i="1"/>
  <c r="F599" i="1"/>
  <c r="F602" i="1"/>
  <c r="F604" i="1"/>
  <c r="F608" i="1"/>
  <c r="F611" i="1"/>
  <c r="F615" i="1"/>
  <c r="F616" i="1"/>
  <c r="F618" i="1"/>
  <c r="F620" i="1"/>
  <c r="F624" i="1"/>
  <c r="F626" i="1"/>
  <c r="F627" i="1"/>
  <c r="F628" i="1"/>
  <c r="F631" i="1"/>
  <c r="F632" i="1"/>
  <c r="F634" i="1"/>
  <c r="F635" i="1"/>
  <c r="F636" i="1"/>
  <c r="F637" i="1"/>
  <c r="F643" i="1"/>
  <c r="F644" i="1"/>
  <c r="F647" i="1"/>
  <c r="F651" i="1"/>
  <c r="F652" i="1"/>
  <c r="F657" i="1"/>
  <c r="F660" i="1"/>
  <c r="F663" i="1"/>
  <c r="F664" i="1"/>
  <c r="F665" i="1"/>
  <c r="F666" i="1"/>
  <c r="F669" i="1"/>
  <c r="F670" i="1"/>
  <c r="F671" i="1"/>
  <c r="F675" i="1"/>
  <c r="F680" i="1"/>
  <c r="F681" i="1"/>
  <c r="F682" i="1"/>
  <c r="F686" i="1"/>
  <c r="F690" i="1"/>
  <c r="F691" i="1"/>
  <c r="F693" i="1"/>
  <c r="F700" i="1"/>
  <c r="F701" i="1"/>
  <c r="F703" i="1"/>
  <c r="F706" i="1"/>
  <c r="F709" i="1"/>
  <c r="F714" i="1"/>
  <c r="F718" i="1"/>
  <c r="F720" i="1"/>
  <c r="F721" i="1"/>
  <c r="F722" i="1"/>
  <c r="F723" i="1"/>
  <c r="F724" i="1"/>
  <c r="F726" i="1"/>
  <c r="F727" i="1"/>
  <c r="F728" i="1"/>
  <c r="F735" i="1"/>
  <c r="F736" i="1"/>
  <c r="F738" i="1"/>
  <c r="F740" i="1"/>
  <c r="F742" i="1"/>
  <c r="F747" i="1"/>
  <c r="F748" i="1"/>
  <c r="F749" i="1"/>
  <c r="F751" i="1"/>
  <c r="F754" i="1"/>
  <c r="F755" i="1"/>
  <c r="F756" i="1"/>
  <c r="F758" i="1"/>
  <c r="F759" i="1"/>
  <c r="F763" i="1"/>
  <c r="F764" i="1"/>
  <c r="F767" i="1"/>
  <c r="F770" i="1"/>
  <c r="F772" i="1"/>
  <c r="F773" i="1"/>
  <c r="F774" i="1"/>
  <c r="F775" i="1"/>
  <c r="F776" i="1"/>
  <c r="F777" i="1"/>
  <c r="F778" i="1"/>
  <c r="F779" i="1"/>
  <c r="F780" i="1"/>
  <c r="F781" i="1"/>
  <c r="F2" i="1"/>
  <c r="G6" i="2"/>
  <c r="G5" i="2"/>
  <c r="G4" i="2"/>
  <c r="G3" i="2"/>
  <c r="G2" i="2"/>
  <c r="K10" i="1"/>
  <c r="K9" i="1"/>
  <c r="K8" i="1"/>
  <c r="K7" i="1"/>
  <c r="K6" i="1"/>
  <c r="K5" i="1"/>
  <c r="K4" i="1"/>
  <c r="K3" i="1"/>
  <c r="J11" i="1"/>
  <c r="J10" i="1"/>
  <c r="J9" i="1"/>
  <c r="J8" i="1"/>
  <c r="J7" i="1"/>
  <c r="J6" i="1"/>
  <c r="J5" i="1"/>
  <c r="J4" i="1"/>
  <c r="J3" i="1"/>
  <c r="J2" i="1"/>
  <c r="E686" i="1"/>
  <c r="E622" i="1"/>
  <c r="E590" i="1"/>
  <c r="E558" i="1"/>
  <c r="E494" i="1"/>
  <c r="E454" i="1"/>
  <c r="B20" i="2"/>
  <c r="B8" i="2"/>
  <c r="E718" i="1"/>
  <c r="E654" i="1"/>
  <c r="E526" i="1"/>
  <c r="E435" i="1"/>
  <c r="E371" i="1"/>
  <c r="E323" i="1"/>
  <c r="E280" i="1"/>
  <c r="E237" i="1"/>
  <c r="E195" i="1"/>
  <c r="E152" i="1"/>
  <c r="E109" i="1"/>
  <c r="E72" i="1"/>
  <c r="E51" i="1"/>
  <c r="E29" i="1"/>
  <c r="E8" i="1"/>
  <c r="B3" i="2"/>
  <c r="B4" i="2"/>
  <c r="B5" i="2"/>
  <c r="B7" i="2"/>
  <c r="B10" i="2"/>
  <c r="B11" i="2"/>
  <c r="B12" i="2"/>
  <c r="B14" i="2"/>
  <c r="B18" i="2"/>
  <c r="B19" i="2"/>
  <c r="B21" i="2"/>
  <c r="B22" i="2"/>
  <c r="B24" i="2"/>
  <c r="B25" i="2"/>
  <c r="B6" i="2"/>
  <c r="B2" i="2"/>
  <c r="B9" i="2"/>
  <c r="B26" i="2"/>
  <c r="B27" i="2"/>
  <c r="B28" i="2"/>
  <c r="B29" i="2"/>
  <c r="B33" i="2"/>
  <c r="B34" i="2"/>
  <c r="E10" i="1" l="1"/>
  <c r="E18" i="1"/>
  <c r="B13" i="2"/>
  <c r="E26" i="1"/>
  <c r="E34" i="1"/>
  <c r="B17" i="2"/>
  <c r="E42" i="1"/>
  <c r="E50" i="1"/>
  <c r="E58" i="1"/>
  <c r="E66" i="1"/>
  <c r="E74" i="1"/>
  <c r="E82" i="1"/>
  <c r="E90" i="1"/>
  <c r="E98" i="1"/>
  <c r="E110" i="1"/>
  <c r="E118" i="1"/>
  <c r="E126" i="1"/>
  <c r="E138" i="1"/>
  <c r="E146" i="1"/>
  <c r="E154" i="1"/>
  <c r="E162" i="1"/>
  <c r="E170" i="1"/>
  <c r="E178" i="1"/>
  <c r="E186" i="1"/>
  <c r="E194" i="1"/>
  <c r="E206" i="1"/>
  <c r="E218" i="1"/>
  <c r="E226" i="1"/>
  <c r="E230" i="1"/>
  <c r="E238" i="1"/>
  <c r="E246" i="1"/>
  <c r="E254" i="1"/>
  <c r="E262" i="1"/>
  <c r="E270" i="1"/>
  <c r="E278" i="1"/>
  <c r="E286" i="1"/>
  <c r="E294" i="1"/>
  <c r="E302" i="1"/>
  <c r="E310" i="1"/>
  <c r="E322" i="1"/>
  <c r="E330" i="1"/>
  <c r="E338" i="1"/>
  <c r="E350" i="1"/>
  <c r="E362" i="1"/>
  <c r="E370" i="1"/>
  <c r="E382" i="1"/>
  <c r="E390" i="1"/>
  <c r="E398" i="1"/>
  <c r="E410" i="1"/>
  <c r="E418" i="1"/>
  <c r="E426" i="1"/>
  <c r="E434" i="1"/>
  <c r="E442" i="1"/>
  <c r="E446" i="1"/>
  <c r="E458" i="1"/>
  <c r="E462" i="1"/>
  <c r="E470" i="1"/>
  <c r="E482" i="1"/>
  <c r="E490" i="1"/>
  <c r="E498" i="1"/>
  <c r="E506" i="1"/>
  <c r="E514" i="1"/>
  <c r="E534" i="1"/>
  <c r="E542" i="1"/>
  <c r="E550" i="1"/>
  <c r="E570" i="1"/>
  <c r="E582" i="1"/>
  <c r="E594" i="1"/>
  <c r="E602" i="1"/>
  <c r="E618" i="1"/>
  <c r="E630" i="1"/>
  <c r="E642" i="1"/>
  <c r="E650" i="1"/>
  <c r="E666" i="1"/>
  <c r="E674" i="1"/>
  <c r="E682" i="1"/>
  <c r="E702" i="1"/>
  <c r="E706" i="1"/>
  <c r="E163" i="1"/>
  <c r="E248" i="1"/>
  <c r="E333" i="1"/>
  <c r="E27" i="1"/>
  <c r="E59" i="1"/>
  <c r="E75" i="1"/>
  <c r="E83" i="1"/>
  <c r="E115" i="1"/>
  <c r="E179" i="1"/>
  <c r="E191" i="1"/>
  <c r="E211" i="1"/>
  <c r="E243" i="1"/>
  <c r="E255" i="1"/>
  <c r="E275" i="1"/>
  <c r="E287" i="1"/>
  <c r="E307" i="1"/>
  <c r="E319" i="1"/>
  <c r="E339" i="1"/>
  <c r="E351" i="1"/>
  <c r="E363" i="1"/>
  <c r="E379" i="1"/>
  <c r="E395" i="1"/>
  <c r="E411" i="1"/>
  <c r="E427" i="1"/>
  <c r="E443" i="1"/>
  <c r="E487" i="1"/>
  <c r="E511" i="1"/>
  <c r="E543" i="1"/>
  <c r="E575" i="1"/>
  <c r="E607" i="1"/>
  <c r="E510" i="1"/>
  <c r="E518" i="1"/>
  <c r="E530" i="1"/>
  <c r="E546" i="1"/>
  <c r="E554" i="1"/>
  <c r="E566" i="1"/>
  <c r="E574" i="1"/>
  <c r="E586" i="1"/>
  <c r="E606" i="1"/>
  <c r="E614" i="1"/>
  <c r="E634" i="1"/>
  <c r="E646" i="1"/>
  <c r="E662" i="1"/>
  <c r="E670" i="1"/>
  <c r="E690" i="1"/>
  <c r="E694" i="1"/>
  <c r="E710" i="1"/>
  <c r="E13" i="1"/>
  <c r="E56" i="1"/>
  <c r="E120" i="1"/>
  <c r="E387" i="1"/>
  <c r="E7" i="1"/>
  <c r="E23" i="1"/>
  <c r="E39" i="1"/>
  <c r="E55" i="1"/>
  <c r="E95" i="1"/>
  <c r="E127" i="1"/>
  <c r="E147" i="1"/>
  <c r="E159" i="1"/>
  <c r="E223" i="1"/>
  <c r="E19" i="1"/>
  <c r="E40" i="1"/>
  <c r="E61" i="1"/>
  <c r="E88" i="1"/>
  <c r="E131" i="1"/>
  <c r="E173" i="1"/>
  <c r="E216" i="1"/>
  <c r="E259" i="1"/>
  <c r="E301" i="1"/>
  <c r="E344" i="1"/>
  <c r="E403" i="1"/>
  <c r="E475" i="1"/>
  <c r="E6" i="1"/>
  <c r="E719" i="1"/>
  <c r="E559" i="1"/>
  <c r="E436" i="1"/>
  <c r="E404" i="1"/>
  <c r="E388" i="1"/>
  <c r="E335" i="1"/>
  <c r="E324" i="1"/>
  <c r="E292" i="1"/>
  <c r="E281" i="1"/>
  <c r="E260" i="1"/>
  <c r="E228" i="1"/>
  <c r="E207" i="1"/>
  <c r="E196" i="1"/>
  <c r="E175" i="1"/>
  <c r="E153" i="1"/>
  <c r="E121" i="1"/>
  <c r="E111" i="1"/>
  <c r="E80" i="1"/>
  <c r="E57" i="1"/>
  <c r="E52" i="1"/>
  <c r="E31" i="1"/>
  <c r="E25" i="1"/>
  <c r="E4" i="1"/>
  <c r="E751" i="1"/>
  <c r="E687" i="1"/>
  <c r="E655" i="1"/>
  <c r="E623" i="1"/>
  <c r="E591" i="1"/>
  <c r="E527" i="1"/>
  <c r="E476" i="1"/>
  <c r="E455" i="1"/>
  <c r="E420" i="1"/>
  <c r="E372" i="1"/>
  <c r="E356" i="1"/>
  <c r="E345" i="1"/>
  <c r="E313" i="1"/>
  <c r="E303" i="1"/>
  <c r="E271" i="1"/>
  <c r="E249" i="1"/>
  <c r="E239" i="1"/>
  <c r="E217" i="1"/>
  <c r="E185" i="1"/>
  <c r="E164" i="1"/>
  <c r="E143" i="1"/>
  <c r="E132" i="1"/>
  <c r="E100" i="1"/>
  <c r="E89" i="1"/>
  <c r="E73" i="1"/>
  <c r="E68" i="1"/>
  <c r="E63" i="1"/>
  <c r="E47" i="1"/>
  <c r="E41" i="1"/>
  <c r="E36" i="1"/>
  <c r="E20" i="1"/>
  <c r="E15" i="1"/>
  <c r="E9" i="1"/>
  <c r="E14" i="1"/>
  <c r="E22" i="1"/>
  <c r="E30" i="1"/>
  <c r="E38" i="1"/>
  <c r="E46" i="1"/>
  <c r="B16" i="2"/>
  <c r="E54" i="1"/>
  <c r="E62" i="1"/>
  <c r="E70" i="1"/>
  <c r="E78" i="1"/>
  <c r="E86" i="1"/>
  <c r="E94" i="1"/>
  <c r="E102" i="1"/>
  <c r="E106" i="1"/>
  <c r="E114" i="1"/>
  <c r="E122" i="1"/>
  <c r="E130" i="1"/>
  <c r="E134" i="1"/>
  <c r="E142" i="1"/>
  <c r="E150" i="1"/>
  <c r="E158" i="1"/>
  <c r="E166" i="1"/>
  <c r="E174" i="1"/>
  <c r="E182" i="1"/>
  <c r="E190" i="1"/>
  <c r="E198" i="1"/>
  <c r="E202" i="1"/>
  <c r="E210" i="1"/>
  <c r="E214" i="1"/>
  <c r="E222" i="1"/>
  <c r="E234" i="1"/>
  <c r="E242" i="1"/>
  <c r="E250" i="1"/>
  <c r="E258" i="1"/>
  <c r="E266" i="1"/>
  <c r="E274" i="1"/>
  <c r="E282" i="1"/>
  <c r="E290" i="1"/>
  <c r="E298" i="1"/>
  <c r="E306" i="1"/>
  <c r="E314" i="1"/>
  <c r="E318" i="1"/>
  <c r="E326" i="1"/>
  <c r="E334" i="1"/>
  <c r="E342" i="1"/>
  <c r="E346" i="1"/>
  <c r="E354" i="1"/>
  <c r="E358" i="1"/>
  <c r="E366" i="1"/>
  <c r="E374" i="1"/>
  <c r="E378" i="1"/>
  <c r="E386" i="1"/>
  <c r="E394" i="1"/>
  <c r="E402" i="1"/>
  <c r="E406" i="1"/>
  <c r="E414" i="1"/>
  <c r="E422" i="1"/>
  <c r="E430" i="1"/>
  <c r="E438" i="1"/>
  <c r="E450" i="1"/>
  <c r="E466" i="1"/>
  <c r="E474" i="1"/>
  <c r="E478" i="1"/>
  <c r="E486" i="1"/>
  <c r="E502" i="1"/>
  <c r="E522" i="1"/>
  <c r="E538" i="1"/>
  <c r="E562" i="1"/>
  <c r="E578" i="1"/>
  <c r="E598" i="1"/>
  <c r="E610" i="1"/>
  <c r="E626" i="1"/>
  <c r="E638" i="1"/>
  <c r="E658" i="1"/>
  <c r="E678" i="1"/>
  <c r="E698" i="1"/>
  <c r="E714" i="1"/>
  <c r="B32" i="2"/>
  <c r="E35" i="1"/>
  <c r="E79" i="1"/>
  <c r="E205" i="1"/>
  <c r="E291" i="1"/>
  <c r="E11" i="1"/>
  <c r="E43" i="1"/>
  <c r="E71" i="1"/>
  <c r="B23" i="2"/>
  <c r="E3" i="1"/>
  <c r="E24" i="1"/>
  <c r="E45" i="1"/>
  <c r="E67" i="1"/>
  <c r="E99" i="1"/>
  <c r="E141" i="1"/>
  <c r="E184" i="1"/>
  <c r="E227" i="1"/>
  <c r="E269" i="1"/>
  <c r="E312" i="1"/>
  <c r="E355" i="1"/>
  <c r="E419" i="1"/>
  <c r="E496" i="1"/>
  <c r="E750" i="1"/>
  <c r="E781" i="1"/>
  <c r="E777" i="1"/>
  <c r="E773" i="1"/>
  <c r="E769" i="1"/>
  <c r="E765" i="1"/>
  <c r="E761" i="1"/>
  <c r="E757" i="1"/>
  <c r="E753" i="1"/>
  <c r="E749" i="1"/>
  <c r="E745" i="1"/>
  <c r="E741" i="1"/>
  <c r="E737" i="1"/>
  <c r="E733" i="1"/>
  <c r="E729" i="1"/>
  <c r="E725" i="1"/>
  <c r="E721" i="1"/>
  <c r="E717" i="1"/>
  <c r="E713" i="1"/>
  <c r="E709" i="1"/>
  <c r="E705" i="1"/>
  <c r="E701" i="1"/>
  <c r="E697" i="1"/>
  <c r="E693" i="1"/>
  <c r="E689" i="1"/>
  <c r="E685" i="1"/>
  <c r="E681" i="1"/>
  <c r="E677" i="1"/>
  <c r="E673" i="1"/>
  <c r="E669" i="1"/>
  <c r="E665" i="1"/>
  <c r="E661" i="1"/>
  <c r="E657" i="1"/>
  <c r="E653" i="1"/>
  <c r="E649" i="1"/>
  <c r="E645" i="1"/>
  <c r="E641" i="1"/>
  <c r="E637" i="1"/>
  <c r="E633" i="1"/>
  <c r="E629" i="1"/>
  <c r="E625" i="1"/>
  <c r="E621" i="1"/>
  <c r="E617" i="1"/>
  <c r="E613" i="1"/>
  <c r="E609" i="1"/>
  <c r="E605" i="1"/>
  <c r="E601" i="1"/>
  <c r="E597" i="1"/>
  <c r="E593" i="1"/>
  <c r="E589" i="1"/>
  <c r="E585" i="1"/>
  <c r="E581" i="1"/>
  <c r="E577" i="1"/>
  <c r="E573" i="1"/>
  <c r="E569" i="1"/>
  <c r="E565" i="1"/>
  <c r="E561" i="1"/>
  <c r="E557" i="1"/>
  <c r="E553" i="1"/>
  <c r="E549" i="1"/>
  <c r="E545" i="1"/>
  <c r="E541" i="1"/>
  <c r="E537" i="1"/>
  <c r="E533" i="1"/>
  <c r="E529" i="1"/>
  <c r="E525" i="1"/>
  <c r="E521" i="1"/>
  <c r="E517" i="1"/>
  <c r="E513" i="1"/>
  <c r="E509" i="1"/>
  <c r="E505" i="1"/>
  <c r="E501" i="1"/>
  <c r="E497" i="1"/>
  <c r="E493" i="1"/>
  <c r="E489" i="1"/>
  <c r="E485" i="1"/>
  <c r="E481" i="1"/>
  <c r="E477" i="1"/>
  <c r="E473" i="1"/>
  <c r="E469" i="1"/>
  <c r="E465" i="1"/>
  <c r="E461" i="1"/>
  <c r="E457" i="1"/>
  <c r="E453" i="1"/>
  <c r="E449" i="1"/>
  <c r="E445" i="1"/>
  <c r="E780" i="1"/>
  <c r="E776" i="1"/>
  <c r="E772" i="1"/>
  <c r="E768" i="1"/>
  <c r="E764" i="1"/>
  <c r="E760" i="1"/>
  <c r="E756" i="1"/>
  <c r="E752" i="1"/>
  <c r="E748" i="1"/>
  <c r="E744" i="1"/>
  <c r="E740" i="1"/>
  <c r="E736" i="1"/>
  <c r="E732" i="1"/>
  <c r="E728" i="1"/>
  <c r="E724" i="1"/>
  <c r="E720" i="1"/>
  <c r="E716" i="1"/>
  <c r="E712" i="1"/>
  <c r="E708" i="1"/>
  <c r="E704" i="1"/>
  <c r="E700" i="1"/>
  <c r="E696" i="1"/>
  <c r="E692" i="1"/>
  <c r="E688" i="1"/>
  <c r="E684" i="1"/>
  <c r="E680" i="1"/>
  <c r="E676" i="1"/>
  <c r="E672" i="1"/>
  <c r="E668" i="1"/>
  <c r="E664" i="1"/>
  <c r="E660" i="1"/>
  <c r="E656" i="1"/>
  <c r="E652" i="1"/>
  <c r="E648" i="1"/>
  <c r="E644" i="1"/>
  <c r="E640" i="1"/>
  <c r="E636" i="1"/>
  <c r="E632" i="1"/>
  <c r="E628" i="1"/>
  <c r="E624" i="1"/>
  <c r="E620" i="1"/>
  <c r="E616" i="1"/>
  <c r="E612" i="1"/>
  <c r="E608" i="1"/>
  <c r="E604" i="1"/>
  <c r="E600" i="1"/>
  <c r="E596" i="1"/>
  <c r="E592" i="1"/>
  <c r="E588" i="1"/>
  <c r="E584" i="1"/>
  <c r="E580" i="1"/>
  <c r="E576" i="1"/>
  <c r="E572" i="1"/>
  <c r="E568" i="1"/>
  <c r="E564" i="1"/>
  <c r="E560" i="1"/>
  <c r="E556" i="1"/>
  <c r="E552" i="1"/>
  <c r="E548" i="1"/>
  <c r="E544" i="1"/>
  <c r="E540" i="1"/>
  <c r="E536" i="1"/>
  <c r="E532" i="1"/>
  <c r="E528" i="1"/>
  <c r="E524" i="1"/>
  <c r="E520" i="1"/>
  <c r="E516" i="1"/>
  <c r="E512" i="1"/>
  <c r="E508" i="1"/>
  <c r="E504" i="1"/>
  <c r="E779" i="1"/>
  <c r="E771" i="1"/>
  <c r="E763" i="1"/>
  <c r="E755" i="1"/>
  <c r="E747" i="1"/>
  <c r="E739" i="1"/>
  <c r="E731" i="1"/>
  <c r="E723" i="1"/>
  <c r="E715" i="1"/>
  <c r="E500" i="1"/>
  <c r="E484" i="1"/>
  <c r="E468" i="1"/>
  <c r="E452" i="1"/>
  <c r="E2" i="1"/>
  <c r="K2" i="1"/>
  <c r="K11" i="1" s="1"/>
  <c r="E385" i="1"/>
  <c r="E381" i="1"/>
  <c r="E377" i="1"/>
  <c r="E373" i="1"/>
  <c r="E369" i="1"/>
  <c r="E365" i="1"/>
  <c r="E361" i="1"/>
  <c r="E357" i="1"/>
  <c r="E778" i="1"/>
  <c r="E770" i="1"/>
  <c r="E762" i="1"/>
  <c r="E754" i="1"/>
  <c r="E746" i="1"/>
  <c r="E738" i="1"/>
  <c r="E730" i="1"/>
  <c r="E722" i="1"/>
  <c r="E488" i="1"/>
  <c r="E472" i="1"/>
  <c r="E456" i="1"/>
  <c r="E441" i="1"/>
  <c r="E437" i="1"/>
  <c r="E433" i="1"/>
  <c r="E429" i="1"/>
  <c r="E425" i="1"/>
  <c r="E421" i="1"/>
  <c r="E417" i="1"/>
  <c r="E413" i="1"/>
  <c r="E409" i="1"/>
  <c r="E405" i="1"/>
  <c r="E401" i="1"/>
  <c r="E397" i="1"/>
  <c r="E393" i="1"/>
  <c r="E389" i="1"/>
  <c r="E775" i="1"/>
  <c r="E759" i="1"/>
  <c r="E743" i="1"/>
  <c r="E727" i="1"/>
  <c r="E492" i="1"/>
  <c r="E460" i="1"/>
  <c r="E440" i="1"/>
  <c r="E432" i="1"/>
  <c r="E424" i="1"/>
  <c r="E416" i="1"/>
  <c r="E408" i="1"/>
  <c r="E400" i="1"/>
  <c r="E392" i="1"/>
  <c r="E384" i="1"/>
  <c r="E376" i="1"/>
  <c r="E368" i="1"/>
  <c r="E360" i="1"/>
  <c r="E353" i="1"/>
  <c r="E348" i="1"/>
  <c r="E337" i="1"/>
  <c r="E332" i="1"/>
  <c r="E321" i="1"/>
  <c r="E316" i="1"/>
  <c r="E305" i="1"/>
  <c r="E300" i="1"/>
  <c r="E289" i="1"/>
  <c r="E284" i="1"/>
  <c r="E273" i="1"/>
  <c r="E268" i="1"/>
  <c r="E257" i="1"/>
  <c r="E252" i="1"/>
  <c r="E241" i="1"/>
  <c r="E236" i="1"/>
  <c r="E225" i="1"/>
  <c r="E220" i="1"/>
  <c r="E209" i="1"/>
  <c r="E204" i="1"/>
  <c r="E193" i="1"/>
  <c r="E188" i="1"/>
  <c r="E177" i="1"/>
  <c r="E172" i="1"/>
  <c r="E161" i="1"/>
  <c r="E156" i="1"/>
  <c r="E145" i="1"/>
  <c r="E140" i="1"/>
  <c r="E129" i="1"/>
  <c r="E124" i="1"/>
  <c r="E113" i="1"/>
  <c r="E108" i="1"/>
  <c r="E97" i="1"/>
  <c r="E92" i="1"/>
  <c r="E81" i="1"/>
  <c r="E76" i="1"/>
  <c r="E774" i="1"/>
  <c r="E758" i="1"/>
  <c r="E742" i="1"/>
  <c r="E726" i="1"/>
  <c r="E480" i="1"/>
  <c r="E448" i="1"/>
  <c r="E352" i="1"/>
  <c r="E341" i="1"/>
  <c r="E336" i="1"/>
  <c r="E325" i="1"/>
  <c r="E320" i="1"/>
  <c r="E309" i="1"/>
  <c r="E304" i="1"/>
  <c r="E293" i="1"/>
  <c r="E288" i="1"/>
  <c r="E277" i="1"/>
  <c r="E272" i="1"/>
  <c r="E261" i="1"/>
  <c r="E256" i="1"/>
  <c r="E245" i="1"/>
  <c r="E240" i="1"/>
  <c r="E229" i="1"/>
  <c r="E224" i="1"/>
  <c r="E213" i="1"/>
  <c r="E208" i="1"/>
  <c r="E197" i="1"/>
  <c r="E192" i="1"/>
  <c r="E181" i="1"/>
  <c r="E176" i="1"/>
  <c r="E165" i="1"/>
  <c r="E160" i="1"/>
  <c r="E149" i="1"/>
  <c r="E144" i="1"/>
  <c r="E133" i="1"/>
  <c r="E128" i="1"/>
  <c r="E117" i="1"/>
  <c r="E112" i="1"/>
  <c r="E101" i="1"/>
  <c r="E96" i="1"/>
  <c r="E85" i="1"/>
  <c r="E91" i="1"/>
  <c r="E107" i="1"/>
  <c r="E119" i="1"/>
  <c r="E135" i="1"/>
  <c r="E151" i="1"/>
  <c r="E171" i="1"/>
  <c r="E183" i="1"/>
  <c r="E203" i="1"/>
  <c r="E219" i="1"/>
  <c r="E235" i="1"/>
  <c r="E247" i="1"/>
  <c r="E267" i="1"/>
  <c r="E283" i="1"/>
  <c r="E295" i="1"/>
  <c r="E315" i="1"/>
  <c r="E327" i="1"/>
  <c r="E347" i="1"/>
  <c r="E359" i="1"/>
  <c r="E383" i="1"/>
  <c r="E399" i="1"/>
  <c r="E407" i="1"/>
  <c r="E423" i="1"/>
  <c r="E439" i="1"/>
  <c r="E451" i="1"/>
  <c r="E463" i="1"/>
  <c r="E471" i="1"/>
  <c r="E483" i="1"/>
  <c r="E499" i="1"/>
  <c r="E503" i="1"/>
  <c r="E515" i="1"/>
  <c r="E523" i="1"/>
  <c r="E535" i="1"/>
  <c r="E539" i="1"/>
  <c r="E551" i="1"/>
  <c r="E555" i="1"/>
  <c r="E563" i="1"/>
  <c r="E567" i="1"/>
  <c r="E571" i="1"/>
  <c r="E579" i="1"/>
  <c r="E583" i="1"/>
  <c r="E587" i="1"/>
  <c r="E595" i="1"/>
  <c r="E599" i="1"/>
  <c r="E603" i="1"/>
  <c r="E615" i="1"/>
  <c r="E631" i="1"/>
  <c r="E647" i="1"/>
  <c r="E663" i="1"/>
  <c r="E679" i="1"/>
  <c r="E695" i="1"/>
  <c r="E711" i="1"/>
  <c r="E87" i="1"/>
  <c r="E103" i="1"/>
  <c r="E123" i="1"/>
  <c r="E139" i="1"/>
  <c r="E155" i="1"/>
  <c r="E167" i="1"/>
  <c r="E187" i="1"/>
  <c r="E199" i="1"/>
  <c r="E215" i="1"/>
  <c r="E231" i="1"/>
  <c r="E251" i="1"/>
  <c r="E263" i="1"/>
  <c r="E279" i="1"/>
  <c r="E299" i="1"/>
  <c r="E311" i="1"/>
  <c r="E331" i="1"/>
  <c r="E343" i="1"/>
  <c r="E367" i="1"/>
  <c r="E375" i="1"/>
  <c r="E391" i="1"/>
  <c r="E415" i="1"/>
  <c r="E431" i="1"/>
  <c r="E447" i="1"/>
  <c r="B30" i="2"/>
  <c r="E459" i="1"/>
  <c r="E467" i="1"/>
  <c r="E479" i="1"/>
  <c r="E491" i="1"/>
  <c r="E495" i="1"/>
  <c r="E507" i="1"/>
  <c r="E519" i="1"/>
  <c r="E531" i="1"/>
  <c r="E547" i="1"/>
  <c r="B31" i="2"/>
  <c r="E5" i="1"/>
  <c r="E16" i="1"/>
  <c r="E21" i="1"/>
  <c r="E32" i="1"/>
  <c r="E37" i="1"/>
  <c r="E48" i="1"/>
  <c r="E53" i="1"/>
  <c r="E64" i="1"/>
  <c r="E69" i="1"/>
  <c r="E93" i="1"/>
  <c r="E104" i="1"/>
  <c r="E125" i="1"/>
  <c r="E136" i="1"/>
  <c r="E157" i="1"/>
  <c r="E168" i="1"/>
  <c r="E189" i="1"/>
  <c r="E200" i="1"/>
  <c r="E221" i="1"/>
  <c r="E232" i="1"/>
  <c r="E253" i="1"/>
  <c r="E264" i="1"/>
  <c r="E285" i="1"/>
  <c r="E296" i="1"/>
  <c r="E317" i="1"/>
  <c r="E328" i="1"/>
  <c r="E349" i="1"/>
  <c r="E464" i="1"/>
  <c r="E734" i="1"/>
  <c r="E766" i="1"/>
  <c r="B15" i="2"/>
  <c r="E12" i="1"/>
  <c r="E17" i="1"/>
  <c r="E28" i="1"/>
  <c r="E33" i="1"/>
  <c r="E44" i="1"/>
  <c r="E49" i="1"/>
  <c r="E60" i="1"/>
  <c r="E65" i="1"/>
  <c r="E77" i="1"/>
  <c r="E84" i="1"/>
  <c r="E105" i="1"/>
  <c r="E116" i="1"/>
  <c r="E137" i="1"/>
  <c r="E148" i="1"/>
  <c r="E169" i="1"/>
  <c r="E180" i="1"/>
  <c r="E201" i="1"/>
  <c r="E212" i="1"/>
  <c r="E233" i="1"/>
  <c r="E244" i="1"/>
  <c r="E265" i="1"/>
  <c r="E276" i="1"/>
  <c r="E297" i="1"/>
  <c r="E308" i="1"/>
  <c r="E329" i="1"/>
  <c r="E340" i="1"/>
  <c r="E364" i="1"/>
  <c r="E380" i="1"/>
  <c r="E396" i="1"/>
  <c r="E412" i="1"/>
  <c r="E428" i="1"/>
  <c r="E444" i="1"/>
  <c r="E639" i="1"/>
  <c r="E671" i="1"/>
  <c r="E703" i="1"/>
  <c r="E735" i="1"/>
  <c r="E767" i="1"/>
  <c r="E611" i="1"/>
  <c r="E619" i="1"/>
  <c r="E627" i="1"/>
  <c r="E635" i="1"/>
  <c r="E643" i="1"/>
  <c r="E651" i="1"/>
  <c r="E659" i="1"/>
  <c r="E667" i="1"/>
  <c r="E675" i="1"/>
  <c r="E683" i="1"/>
  <c r="E691" i="1"/>
  <c r="E699" i="1"/>
  <c r="E707" i="1"/>
  <c r="H3" i="2" l="1"/>
  <c r="L11" i="1"/>
  <c r="L8" i="1"/>
  <c r="L4" i="1"/>
  <c r="L3" i="1"/>
  <c r="L5" i="1"/>
  <c r="L6" i="1"/>
  <c r="L9" i="1"/>
  <c r="L7" i="1"/>
  <c r="L10" i="1"/>
  <c r="H2" i="2"/>
  <c r="H5" i="2"/>
  <c r="H4" i="2"/>
  <c r="H6" i="2" l="1"/>
  <c r="L2" i="1"/>
  <c r="I3" i="2" l="1"/>
  <c r="I6" i="2"/>
  <c r="I2" i="2"/>
  <c r="I4" i="2"/>
  <c r="I5" i="2"/>
</calcChain>
</file>

<file path=xl/sharedStrings.xml><?xml version="1.0" encoding="utf-8"?>
<sst xmlns="http://schemas.openxmlformats.org/spreadsheetml/2006/main" count="152" uniqueCount="23">
  <si>
    <t>product_id</t>
  </si>
  <si>
    <t>Etiquetas de fila</t>
  </si>
  <si>
    <t>Total general</t>
  </si>
  <si>
    <t>Cuenta de product_id</t>
  </si>
  <si>
    <t>Tons Prom Oct-Dic19</t>
  </si>
  <si>
    <t>Cuenta de Product_ID</t>
  </si>
  <si>
    <t>Cluster DTW</t>
  </si>
  <si>
    <t>Product_ID</t>
  </si>
  <si>
    <t>1ro</t>
  </si>
  <si>
    <t>2do</t>
  </si>
  <si>
    <t>3ro</t>
  </si>
  <si>
    <t>4to</t>
  </si>
  <si>
    <t>5to</t>
  </si>
  <si>
    <t>6to</t>
  </si>
  <si>
    <t>7mo</t>
  </si>
  <si>
    <t>8vo</t>
  </si>
  <si>
    <t>Ranking por Ton</t>
  </si>
  <si>
    <t>#Meses completos Ene-Dic'18</t>
  </si>
  <si>
    <t>%Ton/Cluster</t>
  </si>
  <si>
    <t>Seleccionado</t>
  </si>
  <si>
    <t>cluster_2018</t>
  </si>
  <si>
    <t>Serie 2018 incompleta ==&gt; promediar</t>
  </si>
  <si>
    <t>9no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</si>
</sst>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64" fontId="16" fillId="0" borderId="0" xfId="1" applyNumberFormat="1" applyFont="1"/>
    <xf numFmtId="4" fontId="0" fillId="0" borderId="0" xfId="0" applyNumberFormat="1"/>
    <xf numFmtId="4" fontId="16" fillId="0" borderId="0" xfId="0" applyNumberFormat="1" applyFont="1"/>
    <xf numFmtId="0" fontId="16" fillId="0" borderId="0" xfId="0" applyFont="1"/>
    <xf numFmtId="0" fontId="0" fillId="0" borderId="0" xfId="0" applyAlignment="1">
      <alignment horizontal="center"/>
    </xf>
    <xf numFmtId="164" fontId="0" fillId="0" borderId="0" xfId="1" applyNumberFormat="1" applyFont="1" applyFill="1"/>
    <xf numFmtId="0" fontId="0" fillId="33" borderId="0" xfId="0" applyFill="1" applyAlignment="1">
      <alignment horizontal="left"/>
    </xf>
    <xf numFmtId="164" fontId="0" fillId="33" borderId="0" xfId="1" applyNumberFormat="1" applyFont="1" applyFill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8"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1" defaultTableStyle="TableStyleMedium2" defaultPivotStyle="PivotStyleLight16">
    <tableStyle name="Invisible" pivot="0" table="0" count="0" xr9:uid="{CB62BBD0-DBA0-4143-A68D-BB1C135C90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Cicconi" refreshedDate="45878.450407986114" createdVersion="8" refreshedVersion="8" minRefreshableVersion="3" recordCount="780" xr:uid="{B398C429-029E-4B94-B38B-8B5201AE1012}">
  <cacheSource type="worksheet">
    <worksheetSource ref="A1:B781" sheet="780 a pred"/>
  </cacheSource>
  <cacheFields count="2">
    <cacheField name="product_id" numFmtId="0">
      <sharedItems containsSemiMixedTypes="0" containsString="0" containsNumber="1" containsInteger="1" minValue="20001" maxValue="21276"/>
    </cacheField>
    <cacheField name="cluster_2018" numFmtId="0">
      <sharedItems containsMixedTypes="1" containsNumber="1" containsInteger="1" minValue="0" maxValue="7" count="9">
        <n v="3"/>
        <n v="7"/>
        <n v="0"/>
        <s v="Serie 2018 incompleta ==&gt; promediar"/>
        <n v="2"/>
        <n v="1"/>
        <n v="5"/>
        <n v="4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Cicconi" refreshedDate="45878.463489699076" createdVersion="8" refreshedVersion="8" minRefreshableVersion="3" recordCount="33" xr:uid="{62CAA142-BA28-434F-891C-510E63D572BF}">
  <cacheSource type="worksheet">
    <worksheetSource ref="A1:B34" sheet="33 magicos"/>
  </cacheSource>
  <cacheFields count="2">
    <cacheField name="Product_ID" numFmtId="0">
      <sharedItems containsSemiMixedTypes="0" containsString="0" containsNumber="1" containsInteger="1" minValue="20001" maxValue="20838"/>
    </cacheField>
    <cacheField name="Cluster DTW" numFmtId="0">
      <sharedItems containsSemiMixedTypes="0" containsString="0" containsNumber="1" containsInteger="1" minValue="0" maxValue="7" count="8">
        <n v="7"/>
        <n v="3"/>
        <n v="0"/>
        <n v="5"/>
        <n v="2" u="1"/>
        <n v="4" u="1"/>
        <n v="1" u="1"/>
        <n v="6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0">
  <r>
    <n v="20002"/>
    <x v="0"/>
  </r>
  <r>
    <n v="20001"/>
    <x v="1"/>
  </r>
  <r>
    <n v="20003"/>
    <x v="0"/>
  </r>
  <r>
    <n v="20004"/>
    <x v="1"/>
  </r>
  <r>
    <n v="20005"/>
    <x v="2"/>
  </r>
  <r>
    <n v="20032"/>
    <x v="3"/>
  </r>
  <r>
    <n v="20009"/>
    <x v="4"/>
  </r>
  <r>
    <n v="20006"/>
    <x v="2"/>
  </r>
  <r>
    <n v="20010"/>
    <x v="1"/>
  </r>
  <r>
    <n v="20014"/>
    <x v="2"/>
  </r>
  <r>
    <n v="20007"/>
    <x v="2"/>
  </r>
  <r>
    <n v="20019"/>
    <x v="1"/>
  </r>
  <r>
    <n v="20013"/>
    <x v="2"/>
  </r>
  <r>
    <n v="20011"/>
    <x v="2"/>
  </r>
  <r>
    <n v="20015"/>
    <x v="0"/>
  </r>
  <r>
    <n v="20008"/>
    <x v="2"/>
  </r>
  <r>
    <n v="20026"/>
    <x v="2"/>
  </r>
  <r>
    <n v="20016"/>
    <x v="2"/>
  </r>
  <r>
    <n v="20023"/>
    <x v="2"/>
  </r>
  <r>
    <n v="20020"/>
    <x v="2"/>
  </r>
  <r>
    <n v="20127"/>
    <x v="3"/>
  </r>
  <r>
    <n v="20012"/>
    <x v="2"/>
  </r>
  <r>
    <n v="20017"/>
    <x v="2"/>
  </r>
  <r>
    <n v="20021"/>
    <x v="1"/>
  </r>
  <r>
    <n v="20022"/>
    <x v="5"/>
  </r>
  <r>
    <n v="20018"/>
    <x v="2"/>
  </r>
  <r>
    <n v="20027"/>
    <x v="4"/>
  </r>
  <r>
    <n v="20024"/>
    <x v="2"/>
  </r>
  <r>
    <n v="20025"/>
    <x v="2"/>
  </r>
  <r>
    <n v="20085"/>
    <x v="4"/>
  </r>
  <r>
    <n v="20031"/>
    <x v="2"/>
  </r>
  <r>
    <n v="20089"/>
    <x v="4"/>
  </r>
  <r>
    <n v="20042"/>
    <x v="2"/>
  </r>
  <r>
    <n v="20046"/>
    <x v="0"/>
  </r>
  <r>
    <n v="20049"/>
    <x v="1"/>
  </r>
  <r>
    <n v="20028"/>
    <x v="1"/>
  </r>
  <r>
    <n v="20029"/>
    <x v="2"/>
  </r>
  <r>
    <n v="20035"/>
    <x v="1"/>
  </r>
  <r>
    <n v="20045"/>
    <x v="1"/>
  </r>
  <r>
    <n v="20044"/>
    <x v="2"/>
  </r>
  <r>
    <n v="20033"/>
    <x v="1"/>
  </r>
  <r>
    <n v="20054"/>
    <x v="2"/>
  </r>
  <r>
    <n v="20053"/>
    <x v="2"/>
  </r>
  <r>
    <n v="20038"/>
    <x v="2"/>
  </r>
  <r>
    <n v="20039"/>
    <x v="2"/>
  </r>
  <r>
    <n v="20059"/>
    <x v="2"/>
  </r>
  <r>
    <n v="20084"/>
    <x v="4"/>
  </r>
  <r>
    <n v="20047"/>
    <x v="2"/>
  </r>
  <r>
    <n v="20041"/>
    <x v="1"/>
  </r>
  <r>
    <n v="20061"/>
    <x v="2"/>
  </r>
  <r>
    <n v="20051"/>
    <x v="1"/>
  </r>
  <r>
    <n v="20043"/>
    <x v="2"/>
  </r>
  <r>
    <n v="20075"/>
    <x v="2"/>
  </r>
  <r>
    <n v="20050"/>
    <x v="2"/>
  </r>
  <r>
    <n v="20063"/>
    <x v="2"/>
  </r>
  <r>
    <n v="20116"/>
    <x v="4"/>
  </r>
  <r>
    <n v="20057"/>
    <x v="2"/>
  </r>
  <r>
    <n v="20058"/>
    <x v="2"/>
  </r>
  <r>
    <n v="20130"/>
    <x v="4"/>
  </r>
  <r>
    <n v="20073"/>
    <x v="0"/>
  </r>
  <r>
    <n v="20052"/>
    <x v="2"/>
  </r>
  <r>
    <n v="20065"/>
    <x v="2"/>
  </r>
  <r>
    <n v="20069"/>
    <x v="1"/>
  </r>
  <r>
    <n v="20135"/>
    <x v="1"/>
  </r>
  <r>
    <n v="20121"/>
    <x v="4"/>
  </r>
  <r>
    <n v="20070"/>
    <x v="2"/>
  </r>
  <r>
    <n v="20150"/>
    <x v="1"/>
  </r>
  <r>
    <n v="20210"/>
    <x v="3"/>
  </r>
  <r>
    <n v="20056"/>
    <x v="1"/>
  </r>
  <r>
    <n v="20094"/>
    <x v="2"/>
  </r>
  <r>
    <n v="20174"/>
    <x v="3"/>
  </r>
  <r>
    <n v="20081"/>
    <x v="2"/>
  </r>
  <r>
    <n v="20062"/>
    <x v="2"/>
  </r>
  <r>
    <n v="20068"/>
    <x v="2"/>
  </r>
  <r>
    <n v="20071"/>
    <x v="2"/>
  </r>
  <r>
    <n v="20143"/>
    <x v="1"/>
  </r>
  <r>
    <n v="20126"/>
    <x v="1"/>
  </r>
  <r>
    <n v="20066"/>
    <x v="2"/>
  </r>
  <r>
    <n v="20055"/>
    <x v="2"/>
  </r>
  <r>
    <n v="20076"/>
    <x v="1"/>
  </r>
  <r>
    <n v="20037"/>
    <x v="2"/>
  </r>
  <r>
    <n v="20112"/>
    <x v="1"/>
  </r>
  <r>
    <n v="20067"/>
    <x v="2"/>
  </r>
  <r>
    <n v="20093"/>
    <x v="2"/>
  </r>
  <r>
    <n v="20030"/>
    <x v="2"/>
  </r>
  <r>
    <n v="20080"/>
    <x v="2"/>
  </r>
  <r>
    <n v="20091"/>
    <x v="2"/>
  </r>
  <r>
    <n v="20107"/>
    <x v="1"/>
  </r>
  <r>
    <n v="20074"/>
    <x v="2"/>
  </r>
  <r>
    <n v="20101"/>
    <x v="2"/>
  </r>
  <r>
    <n v="20095"/>
    <x v="2"/>
  </r>
  <r>
    <n v="20213"/>
    <x v="3"/>
  </r>
  <r>
    <n v="20170"/>
    <x v="4"/>
  </r>
  <r>
    <n v="20087"/>
    <x v="2"/>
  </r>
  <r>
    <n v="20159"/>
    <x v="4"/>
  </r>
  <r>
    <n v="20111"/>
    <x v="5"/>
  </r>
  <r>
    <n v="20120"/>
    <x v="6"/>
  </r>
  <r>
    <n v="20106"/>
    <x v="2"/>
  </r>
  <r>
    <n v="20145"/>
    <x v="2"/>
  </r>
  <r>
    <n v="20119"/>
    <x v="1"/>
  </r>
  <r>
    <n v="20108"/>
    <x v="2"/>
  </r>
  <r>
    <n v="20077"/>
    <x v="1"/>
  </r>
  <r>
    <n v="20122"/>
    <x v="2"/>
  </r>
  <r>
    <n v="20103"/>
    <x v="2"/>
  </r>
  <r>
    <n v="20158"/>
    <x v="1"/>
  </r>
  <r>
    <n v="20153"/>
    <x v="2"/>
  </r>
  <r>
    <n v="20157"/>
    <x v="2"/>
  </r>
  <r>
    <n v="20123"/>
    <x v="2"/>
  </r>
  <r>
    <n v="20134"/>
    <x v="2"/>
  </r>
  <r>
    <n v="20125"/>
    <x v="2"/>
  </r>
  <r>
    <n v="20118"/>
    <x v="0"/>
  </r>
  <r>
    <n v="20257"/>
    <x v="3"/>
  </r>
  <r>
    <n v="20132"/>
    <x v="1"/>
  </r>
  <r>
    <n v="20155"/>
    <x v="2"/>
  </r>
  <r>
    <n v="20164"/>
    <x v="1"/>
  </r>
  <r>
    <n v="20140"/>
    <x v="2"/>
  </r>
  <r>
    <n v="20099"/>
    <x v="2"/>
  </r>
  <r>
    <n v="20082"/>
    <x v="2"/>
  </r>
  <r>
    <n v="20092"/>
    <x v="2"/>
  </r>
  <r>
    <n v="20072"/>
    <x v="1"/>
  </r>
  <r>
    <n v="20236"/>
    <x v="3"/>
  </r>
  <r>
    <n v="20129"/>
    <x v="2"/>
  </r>
  <r>
    <n v="20139"/>
    <x v="2"/>
  </r>
  <r>
    <n v="20148"/>
    <x v="2"/>
  </r>
  <r>
    <n v="20114"/>
    <x v="2"/>
  </r>
  <r>
    <n v="20133"/>
    <x v="2"/>
  </r>
  <r>
    <n v="20096"/>
    <x v="2"/>
  </r>
  <r>
    <n v="20161"/>
    <x v="2"/>
  </r>
  <r>
    <n v="20227"/>
    <x v="4"/>
  </r>
  <r>
    <n v="20162"/>
    <x v="2"/>
  </r>
  <r>
    <n v="20261"/>
    <x v="3"/>
  </r>
  <r>
    <n v="20086"/>
    <x v="2"/>
  </r>
  <r>
    <n v="20144"/>
    <x v="2"/>
  </r>
  <r>
    <n v="20097"/>
    <x v="2"/>
  </r>
  <r>
    <n v="20203"/>
    <x v="1"/>
  </r>
  <r>
    <n v="20100"/>
    <x v="1"/>
  </r>
  <r>
    <n v="20124"/>
    <x v="2"/>
  </r>
  <r>
    <n v="20151"/>
    <x v="2"/>
  </r>
  <r>
    <n v="20146"/>
    <x v="2"/>
  </r>
  <r>
    <n v="20109"/>
    <x v="2"/>
  </r>
  <r>
    <n v="20137"/>
    <x v="2"/>
  </r>
  <r>
    <n v="20167"/>
    <x v="2"/>
  </r>
  <r>
    <n v="20286"/>
    <x v="3"/>
  </r>
  <r>
    <n v="20117"/>
    <x v="2"/>
  </r>
  <r>
    <n v="20090"/>
    <x v="2"/>
  </r>
  <r>
    <n v="20235"/>
    <x v="1"/>
  </r>
  <r>
    <n v="20440"/>
    <x v="3"/>
  </r>
  <r>
    <n v="20160"/>
    <x v="4"/>
  </r>
  <r>
    <n v="20079"/>
    <x v="2"/>
  </r>
  <r>
    <n v="20189"/>
    <x v="2"/>
  </r>
  <r>
    <n v="20355"/>
    <x v="3"/>
  </r>
  <r>
    <n v="20232"/>
    <x v="4"/>
  </r>
  <r>
    <n v="20166"/>
    <x v="2"/>
  </r>
  <r>
    <n v="20138"/>
    <x v="2"/>
  </r>
  <r>
    <n v="20237"/>
    <x v="1"/>
  </r>
  <r>
    <n v="20181"/>
    <x v="2"/>
  </r>
  <r>
    <n v="20142"/>
    <x v="2"/>
  </r>
  <r>
    <n v="20177"/>
    <x v="2"/>
  </r>
  <r>
    <n v="20102"/>
    <x v="2"/>
  </r>
  <r>
    <n v="20212"/>
    <x v="1"/>
  </r>
  <r>
    <n v="20297"/>
    <x v="2"/>
  </r>
  <r>
    <n v="20175"/>
    <x v="2"/>
  </r>
  <r>
    <n v="20180"/>
    <x v="6"/>
  </r>
  <r>
    <n v="20176"/>
    <x v="2"/>
  </r>
  <r>
    <n v="20266"/>
    <x v="4"/>
  </r>
  <r>
    <n v="20184"/>
    <x v="2"/>
  </r>
  <r>
    <n v="20306"/>
    <x v="2"/>
  </r>
  <r>
    <n v="20193"/>
    <x v="2"/>
  </r>
  <r>
    <n v="20414"/>
    <x v="3"/>
  </r>
  <r>
    <n v="20196"/>
    <x v="0"/>
  </r>
  <r>
    <n v="20179"/>
    <x v="2"/>
  </r>
  <r>
    <n v="20218"/>
    <x v="2"/>
  </r>
  <r>
    <n v="20316"/>
    <x v="0"/>
  </r>
  <r>
    <n v="20188"/>
    <x v="2"/>
  </r>
  <r>
    <n v="20389"/>
    <x v="1"/>
  </r>
  <r>
    <n v="20182"/>
    <x v="2"/>
  </r>
  <r>
    <n v="20201"/>
    <x v="2"/>
  </r>
  <r>
    <n v="20364"/>
    <x v="1"/>
  </r>
  <r>
    <n v="20187"/>
    <x v="2"/>
  </r>
  <r>
    <n v="20224"/>
    <x v="5"/>
  </r>
  <r>
    <n v="20198"/>
    <x v="2"/>
  </r>
  <r>
    <n v="20321"/>
    <x v="2"/>
  </r>
  <r>
    <n v="20205"/>
    <x v="2"/>
  </r>
  <r>
    <n v="20197"/>
    <x v="2"/>
  </r>
  <r>
    <n v="20200"/>
    <x v="2"/>
  </r>
  <r>
    <n v="20152"/>
    <x v="1"/>
  </r>
  <r>
    <n v="20323"/>
    <x v="1"/>
  </r>
  <r>
    <n v="20202"/>
    <x v="1"/>
  </r>
  <r>
    <n v="20192"/>
    <x v="7"/>
  </r>
  <r>
    <n v="20458"/>
    <x v="3"/>
  </r>
  <r>
    <n v="20220"/>
    <x v="2"/>
  </r>
  <r>
    <n v="20168"/>
    <x v="2"/>
  </r>
  <r>
    <n v="20262"/>
    <x v="1"/>
  </r>
  <r>
    <n v="20233"/>
    <x v="2"/>
  </r>
  <r>
    <n v="20208"/>
    <x v="2"/>
  </r>
  <r>
    <n v="20313"/>
    <x v="2"/>
  </r>
  <r>
    <n v="20215"/>
    <x v="2"/>
  </r>
  <r>
    <n v="20206"/>
    <x v="2"/>
  </r>
  <r>
    <n v="20209"/>
    <x v="2"/>
  </r>
  <r>
    <n v="20238"/>
    <x v="2"/>
  </r>
  <r>
    <n v="20219"/>
    <x v="2"/>
  </r>
  <r>
    <n v="20231"/>
    <x v="2"/>
  </r>
  <r>
    <n v="20222"/>
    <x v="2"/>
  </r>
  <r>
    <n v="20251"/>
    <x v="2"/>
  </r>
  <r>
    <n v="20395"/>
    <x v="4"/>
  </r>
  <r>
    <n v="20267"/>
    <x v="2"/>
  </r>
  <r>
    <n v="20442"/>
    <x v="3"/>
  </r>
  <r>
    <n v="20290"/>
    <x v="1"/>
  </r>
  <r>
    <n v="20225"/>
    <x v="2"/>
  </r>
  <r>
    <n v="20476"/>
    <x v="3"/>
  </r>
  <r>
    <n v="20211"/>
    <x v="2"/>
  </r>
  <r>
    <n v="20378"/>
    <x v="1"/>
  </r>
  <r>
    <n v="20340"/>
    <x v="1"/>
  </r>
  <r>
    <n v="20263"/>
    <x v="2"/>
  </r>
  <r>
    <n v="20244"/>
    <x v="2"/>
  </r>
  <r>
    <n v="20276"/>
    <x v="2"/>
  </r>
  <r>
    <n v="20254"/>
    <x v="2"/>
  </r>
  <r>
    <n v="20256"/>
    <x v="2"/>
  </r>
  <r>
    <n v="20303"/>
    <x v="1"/>
  </r>
  <r>
    <n v="20230"/>
    <x v="2"/>
  </r>
  <r>
    <n v="20246"/>
    <x v="2"/>
  </r>
  <r>
    <n v="20459"/>
    <x v="4"/>
  </r>
  <r>
    <n v="20337"/>
    <x v="0"/>
  </r>
  <r>
    <n v="20351"/>
    <x v="4"/>
  </r>
  <r>
    <n v="20361"/>
    <x v="2"/>
  </r>
  <r>
    <n v="20226"/>
    <x v="2"/>
  </r>
  <r>
    <n v="20268"/>
    <x v="1"/>
  </r>
  <r>
    <n v="20264"/>
    <x v="2"/>
  </r>
  <r>
    <n v="20183"/>
    <x v="7"/>
  </r>
  <r>
    <n v="20580"/>
    <x v="4"/>
  </r>
  <r>
    <n v="20239"/>
    <x v="2"/>
  </r>
  <r>
    <n v="20241"/>
    <x v="2"/>
  </r>
  <r>
    <n v="20289"/>
    <x v="2"/>
  </r>
  <r>
    <n v="20311"/>
    <x v="2"/>
  </r>
  <r>
    <n v="20240"/>
    <x v="1"/>
  </r>
  <r>
    <n v="20253"/>
    <x v="2"/>
  </r>
  <r>
    <n v="20275"/>
    <x v="1"/>
  </r>
  <r>
    <n v="20282"/>
    <x v="2"/>
  </r>
  <r>
    <n v="20307"/>
    <x v="2"/>
  </r>
  <r>
    <n v="20288"/>
    <x v="1"/>
  </r>
  <r>
    <n v="20526"/>
    <x v="3"/>
  </r>
  <r>
    <n v="20352"/>
    <x v="2"/>
  </r>
  <r>
    <n v="20525"/>
    <x v="3"/>
  </r>
  <r>
    <n v="20314"/>
    <x v="2"/>
  </r>
  <r>
    <n v="20300"/>
    <x v="2"/>
  </r>
  <r>
    <n v="20368"/>
    <x v="4"/>
  </r>
  <r>
    <n v="20273"/>
    <x v="7"/>
  </r>
  <r>
    <n v="20270"/>
    <x v="7"/>
  </r>
  <r>
    <n v="20296"/>
    <x v="2"/>
  </r>
  <r>
    <n v="20298"/>
    <x v="6"/>
  </r>
  <r>
    <n v="20207"/>
    <x v="2"/>
  </r>
  <r>
    <n v="20272"/>
    <x v="2"/>
  </r>
  <r>
    <n v="20326"/>
    <x v="2"/>
  </r>
  <r>
    <n v="20381"/>
    <x v="2"/>
  </r>
  <r>
    <n v="20280"/>
    <x v="2"/>
  </r>
  <r>
    <n v="20299"/>
    <x v="1"/>
  </r>
  <r>
    <n v="20334"/>
    <x v="1"/>
  </r>
  <r>
    <n v="20537"/>
    <x v="3"/>
  </r>
  <r>
    <n v="20216"/>
    <x v="2"/>
  </r>
  <r>
    <n v="20252"/>
    <x v="2"/>
  </r>
  <r>
    <n v="20284"/>
    <x v="1"/>
  </r>
  <r>
    <n v="20309"/>
    <x v="2"/>
  </r>
  <r>
    <n v="20548"/>
    <x v="3"/>
  </r>
  <r>
    <n v="20348"/>
    <x v="2"/>
  </r>
  <r>
    <n v="20295"/>
    <x v="2"/>
  </r>
  <r>
    <n v="20291"/>
    <x v="2"/>
  </r>
  <r>
    <n v="20315"/>
    <x v="6"/>
  </r>
  <r>
    <n v="20277"/>
    <x v="6"/>
  </r>
  <r>
    <n v="20301"/>
    <x v="2"/>
  </r>
  <r>
    <n v="20402"/>
    <x v="6"/>
  </r>
  <r>
    <n v="20310"/>
    <x v="2"/>
  </r>
  <r>
    <n v="20344"/>
    <x v="2"/>
  </r>
  <r>
    <n v="20330"/>
    <x v="2"/>
  </r>
  <r>
    <n v="20292"/>
    <x v="2"/>
  </r>
  <r>
    <n v="20259"/>
    <x v="2"/>
  </r>
  <r>
    <n v="20342"/>
    <x v="2"/>
  </r>
  <r>
    <n v="20495"/>
    <x v="4"/>
  </r>
  <r>
    <n v="20521"/>
    <x v="3"/>
  </r>
  <r>
    <n v="20577"/>
    <x v="3"/>
  </r>
  <r>
    <n v="20320"/>
    <x v="2"/>
  </r>
  <r>
    <n v="20343"/>
    <x v="1"/>
  </r>
  <r>
    <n v="20317"/>
    <x v="2"/>
  </r>
  <r>
    <n v="20575"/>
    <x v="3"/>
  </r>
  <r>
    <n v="20380"/>
    <x v="2"/>
  </r>
  <r>
    <n v="20324"/>
    <x v="1"/>
  </r>
  <r>
    <n v="20354"/>
    <x v="2"/>
  </r>
  <r>
    <n v="20356"/>
    <x v="2"/>
  </r>
  <r>
    <n v="20531"/>
    <x v="3"/>
  </r>
  <r>
    <n v="20615"/>
    <x v="3"/>
  </r>
  <r>
    <n v="20357"/>
    <x v="6"/>
  </r>
  <r>
    <n v="20460"/>
    <x v="4"/>
  </r>
  <r>
    <n v="20438"/>
    <x v="2"/>
  </r>
  <r>
    <n v="20327"/>
    <x v="2"/>
  </r>
  <r>
    <n v="20283"/>
    <x v="2"/>
  </r>
  <r>
    <n v="20433"/>
    <x v="2"/>
  </r>
  <r>
    <n v="20547"/>
    <x v="4"/>
  </r>
  <r>
    <n v="20329"/>
    <x v="2"/>
  </r>
  <r>
    <n v="20387"/>
    <x v="2"/>
  </r>
  <r>
    <n v="20491"/>
    <x v="3"/>
  </r>
  <r>
    <n v="20349"/>
    <x v="2"/>
  </r>
  <r>
    <n v="20336"/>
    <x v="2"/>
  </r>
  <r>
    <n v="20522"/>
    <x v="1"/>
  </r>
  <r>
    <n v="20365"/>
    <x v="2"/>
  </r>
  <r>
    <n v="20623"/>
    <x v="3"/>
  </r>
  <r>
    <n v="20269"/>
    <x v="2"/>
  </r>
  <r>
    <n v="20359"/>
    <x v="6"/>
  </r>
  <r>
    <n v="20403"/>
    <x v="2"/>
  </r>
  <r>
    <n v="20338"/>
    <x v="2"/>
  </r>
  <r>
    <n v="20346"/>
    <x v="2"/>
  </r>
  <r>
    <n v="20621"/>
    <x v="3"/>
  </r>
  <r>
    <n v="20523"/>
    <x v="4"/>
  </r>
  <r>
    <n v="20332"/>
    <x v="2"/>
  </r>
  <r>
    <n v="20603"/>
    <x v="3"/>
  </r>
  <r>
    <n v="20592"/>
    <x v="3"/>
  </r>
  <r>
    <n v="20527"/>
    <x v="4"/>
  </r>
  <r>
    <n v="20319"/>
    <x v="2"/>
  </r>
  <r>
    <n v="20353"/>
    <x v="2"/>
  </r>
  <r>
    <n v="20673"/>
    <x v="3"/>
  </r>
  <r>
    <n v="20569"/>
    <x v="4"/>
  </r>
  <r>
    <n v="20255"/>
    <x v="5"/>
  </r>
  <r>
    <n v="20408"/>
    <x v="4"/>
  </r>
  <r>
    <n v="20335"/>
    <x v="2"/>
  </r>
  <r>
    <n v="20386"/>
    <x v="2"/>
  </r>
  <r>
    <n v="20453"/>
    <x v="2"/>
  </r>
  <r>
    <n v="20419"/>
    <x v="2"/>
  </r>
  <r>
    <n v="20417"/>
    <x v="1"/>
  </r>
  <r>
    <n v="20377"/>
    <x v="1"/>
  </r>
  <r>
    <n v="20421"/>
    <x v="2"/>
  </r>
  <r>
    <n v="20406"/>
    <x v="5"/>
  </r>
  <r>
    <n v="20367"/>
    <x v="2"/>
  </r>
  <r>
    <n v="20633"/>
    <x v="3"/>
  </r>
  <r>
    <n v="20662"/>
    <x v="3"/>
  </r>
  <r>
    <n v="20463"/>
    <x v="2"/>
  </r>
  <r>
    <n v="20659"/>
    <x v="3"/>
  </r>
  <r>
    <n v="20328"/>
    <x v="4"/>
  </r>
  <r>
    <n v="20540"/>
    <x v="4"/>
  </r>
  <r>
    <n v="20611"/>
    <x v="4"/>
  </r>
  <r>
    <n v="20341"/>
    <x v="2"/>
  </r>
  <r>
    <n v="20649"/>
    <x v="3"/>
  </r>
  <r>
    <n v="20503"/>
    <x v="4"/>
  </r>
  <r>
    <n v="20686"/>
    <x v="3"/>
  </r>
  <r>
    <n v="20372"/>
    <x v="2"/>
  </r>
  <r>
    <n v="20510"/>
    <x v="3"/>
  </r>
  <r>
    <n v="20242"/>
    <x v="2"/>
  </r>
  <r>
    <n v="20400"/>
    <x v="4"/>
  </r>
  <r>
    <n v="20558"/>
    <x v="4"/>
  </r>
  <r>
    <n v="20479"/>
    <x v="2"/>
  </r>
  <r>
    <n v="20281"/>
    <x v="1"/>
  </r>
  <r>
    <n v="20382"/>
    <x v="5"/>
  </r>
  <r>
    <n v="20703"/>
    <x v="3"/>
  </r>
  <r>
    <n v="20474"/>
    <x v="2"/>
  </r>
  <r>
    <n v="20694"/>
    <x v="3"/>
  </r>
  <r>
    <n v="20720"/>
    <x v="3"/>
  </r>
  <r>
    <n v="20401"/>
    <x v="2"/>
  </r>
  <r>
    <n v="20627"/>
    <x v="4"/>
  </r>
  <r>
    <n v="20366"/>
    <x v="2"/>
  </r>
  <r>
    <n v="20396"/>
    <x v="2"/>
  </r>
  <r>
    <n v="20541"/>
    <x v="4"/>
  </r>
  <r>
    <n v="20691"/>
    <x v="3"/>
  </r>
  <r>
    <n v="20488"/>
    <x v="4"/>
  </r>
  <r>
    <n v="20450"/>
    <x v="1"/>
  </r>
  <r>
    <n v="20513"/>
    <x v="1"/>
  </r>
  <r>
    <n v="20410"/>
    <x v="2"/>
  </r>
  <r>
    <n v="20553"/>
    <x v="4"/>
  </r>
  <r>
    <n v="20593"/>
    <x v="3"/>
  </r>
  <r>
    <n v="20271"/>
    <x v="2"/>
  </r>
  <r>
    <n v="20559"/>
    <x v="4"/>
  </r>
  <r>
    <n v="20358"/>
    <x v="2"/>
  </r>
  <r>
    <n v="20249"/>
    <x v="2"/>
  </r>
  <r>
    <n v="20285"/>
    <x v="2"/>
  </r>
  <r>
    <n v="20571"/>
    <x v="2"/>
  </r>
  <r>
    <n v="20434"/>
    <x v="4"/>
  </r>
  <r>
    <n v="20500"/>
    <x v="2"/>
  </r>
  <r>
    <n v="20709"/>
    <x v="4"/>
  </r>
  <r>
    <n v="20469"/>
    <x v="5"/>
  </r>
  <r>
    <n v="20711"/>
    <x v="3"/>
  </r>
  <r>
    <n v="20385"/>
    <x v="2"/>
  </r>
  <r>
    <n v="20407"/>
    <x v="2"/>
  </r>
  <r>
    <n v="20404"/>
    <x v="5"/>
  </r>
  <r>
    <n v="20681"/>
    <x v="3"/>
  </r>
  <r>
    <n v="20383"/>
    <x v="2"/>
  </r>
  <r>
    <n v="20481"/>
    <x v="4"/>
  </r>
  <r>
    <n v="20754"/>
    <x v="3"/>
  </r>
  <r>
    <n v="20411"/>
    <x v="2"/>
  </r>
  <r>
    <n v="20426"/>
    <x v="1"/>
  </r>
  <r>
    <n v="20278"/>
    <x v="2"/>
  </r>
  <r>
    <n v="20470"/>
    <x v="6"/>
  </r>
  <r>
    <n v="20719"/>
    <x v="3"/>
  </r>
  <r>
    <n v="20390"/>
    <x v="2"/>
  </r>
  <r>
    <n v="20384"/>
    <x v="0"/>
  </r>
  <r>
    <n v="20674"/>
    <x v="3"/>
  </r>
  <r>
    <n v="20679"/>
    <x v="4"/>
  </r>
  <r>
    <n v="20388"/>
    <x v="0"/>
  </r>
  <r>
    <n v="20466"/>
    <x v="2"/>
  </r>
  <r>
    <n v="20620"/>
    <x v="3"/>
  </r>
  <r>
    <n v="20538"/>
    <x v="2"/>
  </r>
  <r>
    <n v="20228"/>
    <x v="2"/>
  </r>
  <r>
    <n v="20322"/>
    <x v="2"/>
  </r>
  <r>
    <n v="20477"/>
    <x v="4"/>
  </r>
  <r>
    <n v="20447"/>
    <x v="2"/>
  </r>
  <r>
    <n v="20432"/>
    <x v="2"/>
  </r>
  <r>
    <n v="20542"/>
    <x v="2"/>
  </r>
  <r>
    <n v="20473"/>
    <x v="1"/>
  </r>
  <r>
    <n v="20576"/>
    <x v="1"/>
  </r>
  <r>
    <n v="20762"/>
    <x v="3"/>
  </r>
  <r>
    <n v="20732"/>
    <x v="3"/>
  </r>
  <r>
    <n v="20815"/>
    <x v="3"/>
  </r>
  <r>
    <n v="20567"/>
    <x v="2"/>
  </r>
  <r>
    <n v="20604"/>
    <x v="1"/>
  </r>
  <r>
    <n v="20443"/>
    <x v="2"/>
  </r>
  <r>
    <n v="20585"/>
    <x v="2"/>
  </r>
  <r>
    <n v="20549"/>
    <x v="2"/>
  </r>
  <r>
    <n v="20746"/>
    <x v="3"/>
  </r>
  <r>
    <n v="20496"/>
    <x v="2"/>
  </r>
  <r>
    <n v="20682"/>
    <x v="4"/>
  </r>
  <r>
    <n v="20638"/>
    <x v="4"/>
  </r>
  <r>
    <n v="20563"/>
    <x v="2"/>
  </r>
  <r>
    <n v="20483"/>
    <x v="1"/>
  </r>
  <r>
    <n v="20456"/>
    <x v="5"/>
  </r>
  <r>
    <n v="20795"/>
    <x v="3"/>
  </r>
  <r>
    <n v="20482"/>
    <x v="2"/>
  </r>
  <r>
    <n v="20465"/>
    <x v="2"/>
  </r>
  <r>
    <n v="20304"/>
    <x v="2"/>
  </r>
  <r>
    <n v="20375"/>
    <x v="2"/>
  </r>
  <r>
    <n v="20379"/>
    <x v="2"/>
  </r>
  <r>
    <n v="20502"/>
    <x v="2"/>
  </r>
  <r>
    <n v="20424"/>
    <x v="2"/>
  </r>
  <r>
    <n v="20544"/>
    <x v="5"/>
  </r>
  <r>
    <n v="20514"/>
    <x v="2"/>
  </r>
  <r>
    <n v="20612"/>
    <x v="2"/>
  </r>
  <r>
    <n v="20589"/>
    <x v="2"/>
  </r>
  <r>
    <n v="20520"/>
    <x v="1"/>
  </r>
  <r>
    <n v="20480"/>
    <x v="2"/>
  </r>
  <r>
    <n v="20497"/>
    <x v="2"/>
  </r>
  <r>
    <n v="20772"/>
    <x v="3"/>
  </r>
  <r>
    <n v="20570"/>
    <x v="2"/>
  </r>
  <r>
    <n v="20536"/>
    <x v="2"/>
  </r>
  <r>
    <n v="20362"/>
    <x v="5"/>
  </r>
  <r>
    <n v="20505"/>
    <x v="2"/>
  </r>
  <r>
    <n v="20646"/>
    <x v="2"/>
  </r>
  <r>
    <n v="20539"/>
    <x v="2"/>
  </r>
  <r>
    <n v="20822"/>
    <x v="3"/>
  </r>
  <r>
    <n v="20464"/>
    <x v="2"/>
  </r>
  <r>
    <n v="20689"/>
    <x v="4"/>
  </r>
  <r>
    <n v="20415"/>
    <x v="2"/>
  </r>
  <r>
    <n v="20532"/>
    <x v="2"/>
  </r>
  <r>
    <n v="20524"/>
    <x v="5"/>
  </r>
  <r>
    <n v="20484"/>
    <x v="2"/>
  </r>
  <r>
    <n v="20478"/>
    <x v="2"/>
  </r>
  <r>
    <n v="20325"/>
    <x v="2"/>
  </r>
  <r>
    <n v="20605"/>
    <x v="2"/>
  </r>
  <r>
    <n v="20774"/>
    <x v="3"/>
  </r>
  <r>
    <n v="20551"/>
    <x v="2"/>
  </r>
  <r>
    <n v="20517"/>
    <x v="2"/>
  </r>
  <r>
    <n v="20530"/>
    <x v="2"/>
  </r>
  <r>
    <n v="20907"/>
    <x v="3"/>
  </r>
  <r>
    <n v="20680"/>
    <x v="2"/>
  </r>
  <r>
    <n v="20622"/>
    <x v="2"/>
  </r>
  <r>
    <n v="20234"/>
    <x v="2"/>
  </r>
  <r>
    <n v="20624"/>
    <x v="2"/>
  </r>
  <r>
    <n v="20637"/>
    <x v="2"/>
  </r>
  <r>
    <n v="20667"/>
    <x v="2"/>
  </r>
  <r>
    <n v="20265"/>
    <x v="2"/>
  </r>
  <r>
    <n v="20578"/>
    <x v="2"/>
  </r>
  <r>
    <n v="20560"/>
    <x v="2"/>
  </r>
  <r>
    <n v="20661"/>
    <x v="2"/>
  </r>
  <r>
    <n v="20574"/>
    <x v="2"/>
  </r>
  <r>
    <n v="20565"/>
    <x v="1"/>
  </r>
  <r>
    <n v="20628"/>
    <x v="2"/>
  </r>
  <r>
    <n v="20657"/>
    <x v="2"/>
  </r>
  <r>
    <n v="20639"/>
    <x v="2"/>
  </r>
  <r>
    <n v="20696"/>
    <x v="2"/>
  </r>
  <r>
    <n v="20672"/>
    <x v="5"/>
  </r>
  <r>
    <n v="20409"/>
    <x v="2"/>
  </r>
  <r>
    <n v="20642"/>
    <x v="2"/>
  </r>
  <r>
    <n v="20568"/>
    <x v="2"/>
  </r>
  <r>
    <n v="20600"/>
    <x v="2"/>
  </r>
  <r>
    <n v="20599"/>
    <x v="2"/>
  </r>
  <r>
    <n v="20658"/>
    <x v="2"/>
  </r>
  <r>
    <n v="20714"/>
    <x v="2"/>
  </r>
  <r>
    <n v="20579"/>
    <x v="2"/>
  </r>
  <r>
    <n v="20654"/>
    <x v="2"/>
  </r>
  <r>
    <n v="20552"/>
    <x v="2"/>
  </r>
  <r>
    <n v="20699"/>
    <x v="2"/>
  </r>
  <r>
    <n v="20572"/>
    <x v="2"/>
  </r>
  <r>
    <n v="20927"/>
    <x v="3"/>
  </r>
  <r>
    <n v="20693"/>
    <x v="2"/>
  </r>
  <r>
    <n v="20508"/>
    <x v="2"/>
  </r>
  <r>
    <n v="20904"/>
    <x v="3"/>
  </r>
  <r>
    <n v="20652"/>
    <x v="1"/>
  </r>
  <r>
    <n v="20606"/>
    <x v="2"/>
  </r>
  <r>
    <n v="20859"/>
    <x v="3"/>
  </r>
  <r>
    <n v="20705"/>
    <x v="2"/>
  </r>
  <r>
    <n v="20785"/>
    <x v="3"/>
  </r>
  <r>
    <n v="20583"/>
    <x v="2"/>
  </r>
  <r>
    <n v="20783"/>
    <x v="4"/>
  </r>
  <r>
    <n v="20910"/>
    <x v="3"/>
  </r>
  <r>
    <n v="20596"/>
    <x v="2"/>
  </r>
  <r>
    <n v="20602"/>
    <x v="2"/>
  </r>
  <r>
    <n v="20666"/>
    <x v="1"/>
  </r>
  <r>
    <n v="20917"/>
    <x v="4"/>
  </r>
  <r>
    <n v="20706"/>
    <x v="2"/>
  </r>
  <r>
    <n v="20933"/>
    <x v="3"/>
  </r>
  <r>
    <n v="20737"/>
    <x v="2"/>
  </r>
  <r>
    <n v="20853"/>
    <x v="4"/>
  </r>
  <r>
    <n v="20912"/>
    <x v="3"/>
  </r>
  <r>
    <n v="20928"/>
    <x v="3"/>
  </r>
  <r>
    <n v="20758"/>
    <x v="2"/>
  </r>
  <r>
    <n v="20701"/>
    <x v="2"/>
  </r>
  <r>
    <n v="20827"/>
    <x v="3"/>
  </r>
  <r>
    <n v="20757"/>
    <x v="3"/>
  </r>
  <r>
    <n v="20920"/>
    <x v="3"/>
  </r>
  <r>
    <n v="20640"/>
    <x v="2"/>
  </r>
  <r>
    <n v="20708"/>
    <x v="2"/>
  </r>
  <r>
    <n v="20700"/>
    <x v="4"/>
  </r>
  <r>
    <n v="20811"/>
    <x v="4"/>
  </r>
  <r>
    <n v="20946"/>
    <x v="3"/>
  </r>
  <r>
    <n v="20653"/>
    <x v="6"/>
  </r>
  <r>
    <n v="20739"/>
    <x v="2"/>
  </r>
  <r>
    <n v="20924"/>
    <x v="3"/>
  </r>
  <r>
    <n v="20809"/>
    <x v="2"/>
  </r>
  <r>
    <n v="20899"/>
    <x v="3"/>
  </r>
  <r>
    <n v="20962"/>
    <x v="3"/>
  </r>
  <r>
    <n v="20733"/>
    <x v="2"/>
  </r>
  <r>
    <n v="20744"/>
    <x v="2"/>
  </r>
  <r>
    <n v="20632"/>
    <x v="2"/>
  </r>
  <r>
    <n v="20629"/>
    <x v="2"/>
  </r>
  <r>
    <n v="20749"/>
    <x v="2"/>
  </r>
  <r>
    <n v="20777"/>
    <x v="2"/>
  </r>
  <r>
    <n v="20751"/>
    <x v="2"/>
  </r>
  <r>
    <n v="20655"/>
    <x v="2"/>
  </r>
  <r>
    <n v="20641"/>
    <x v="2"/>
  </r>
  <r>
    <n v="20817"/>
    <x v="4"/>
  </r>
  <r>
    <n v="20975"/>
    <x v="3"/>
  </r>
  <r>
    <n v="20793"/>
    <x v="2"/>
  </r>
  <r>
    <n v="20651"/>
    <x v="6"/>
  </r>
  <r>
    <n v="20761"/>
    <x v="2"/>
  </r>
  <r>
    <n v="20932"/>
    <x v="3"/>
  </r>
  <r>
    <n v="20677"/>
    <x v="2"/>
  </r>
  <r>
    <n v="20995"/>
    <x v="3"/>
  </r>
  <r>
    <n v="20968"/>
    <x v="3"/>
  </r>
  <r>
    <n v="21007"/>
    <x v="3"/>
  </r>
  <r>
    <n v="20908"/>
    <x v="4"/>
  </r>
  <r>
    <n v="20609"/>
    <x v="2"/>
  </r>
  <r>
    <n v="20614"/>
    <x v="2"/>
  </r>
  <r>
    <n v="20617"/>
    <x v="2"/>
  </r>
  <r>
    <n v="20697"/>
    <x v="2"/>
  </r>
  <r>
    <n v="20664"/>
    <x v="2"/>
  </r>
  <r>
    <n v="20735"/>
    <x v="2"/>
  </r>
  <r>
    <n v="20807"/>
    <x v="2"/>
  </r>
  <r>
    <n v="20835"/>
    <x v="4"/>
  </r>
  <r>
    <n v="20302"/>
    <x v="2"/>
  </r>
  <r>
    <n v="20902"/>
    <x v="4"/>
  </r>
  <r>
    <n v="20831"/>
    <x v="2"/>
  </r>
  <r>
    <n v="20756"/>
    <x v="2"/>
  </r>
  <r>
    <n v="20942"/>
    <x v="3"/>
  </r>
  <r>
    <n v="20644"/>
    <x v="2"/>
  </r>
  <r>
    <n v="20750"/>
    <x v="2"/>
  </r>
  <r>
    <n v="20742"/>
    <x v="2"/>
  </r>
  <r>
    <n v="20305"/>
    <x v="2"/>
  </r>
  <r>
    <n v="20786"/>
    <x v="6"/>
  </r>
  <r>
    <n v="21035"/>
    <x v="3"/>
  </r>
  <r>
    <n v="20810"/>
    <x v="2"/>
  </r>
  <r>
    <n v="20555"/>
    <x v="2"/>
  </r>
  <r>
    <n v="20862"/>
    <x v="0"/>
  </r>
  <r>
    <n v="20724"/>
    <x v="2"/>
  </r>
  <r>
    <n v="20715"/>
    <x v="2"/>
  </r>
  <r>
    <n v="20820"/>
    <x v="2"/>
  </r>
  <r>
    <n v="20849"/>
    <x v="2"/>
  </r>
  <r>
    <n v="20775"/>
    <x v="2"/>
  </r>
  <r>
    <n v="20702"/>
    <x v="2"/>
  </r>
  <r>
    <n v="20759"/>
    <x v="2"/>
  </r>
  <r>
    <n v="20713"/>
    <x v="2"/>
  </r>
  <r>
    <n v="20823"/>
    <x v="2"/>
  </r>
  <r>
    <n v="20832"/>
    <x v="2"/>
  </r>
  <r>
    <n v="21058"/>
    <x v="3"/>
  </r>
  <r>
    <n v="20676"/>
    <x v="2"/>
  </r>
  <r>
    <n v="20730"/>
    <x v="2"/>
  </r>
  <r>
    <n v="20801"/>
    <x v="2"/>
  </r>
  <r>
    <n v="20428"/>
    <x v="2"/>
  </r>
  <r>
    <n v="21027"/>
    <x v="2"/>
  </r>
  <r>
    <n v="20967"/>
    <x v="4"/>
  </r>
  <r>
    <n v="20838"/>
    <x v="2"/>
  </r>
  <r>
    <n v="20743"/>
    <x v="2"/>
  </r>
  <r>
    <n v="20865"/>
    <x v="2"/>
  </r>
  <r>
    <n v="20350"/>
    <x v="2"/>
  </r>
  <r>
    <n v="20826"/>
    <x v="2"/>
  </r>
  <r>
    <n v="20768"/>
    <x v="2"/>
  </r>
  <r>
    <n v="20966"/>
    <x v="3"/>
  </r>
  <r>
    <n v="20647"/>
    <x v="2"/>
  </r>
  <r>
    <n v="20741"/>
    <x v="2"/>
  </r>
  <r>
    <n v="20945"/>
    <x v="7"/>
  </r>
  <r>
    <n v="21114"/>
    <x v="3"/>
  </r>
  <r>
    <n v="21039"/>
    <x v="3"/>
  </r>
  <r>
    <n v="20855"/>
    <x v="2"/>
  </r>
  <r>
    <n v="20588"/>
    <x v="2"/>
  </r>
  <r>
    <n v="20789"/>
    <x v="2"/>
  </r>
  <r>
    <n v="20878"/>
    <x v="0"/>
  </r>
  <r>
    <n v="20863"/>
    <x v="2"/>
  </r>
  <r>
    <n v="20745"/>
    <x v="2"/>
  </r>
  <r>
    <n v="21110"/>
    <x v="3"/>
  </r>
  <r>
    <n v="20721"/>
    <x v="2"/>
  </r>
  <r>
    <n v="21097"/>
    <x v="3"/>
  </r>
  <r>
    <n v="20660"/>
    <x v="2"/>
  </r>
  <r>
    <n v="20913"/>
    <x v="2"/>
  </r>
  <r>
    <n v="20788"/>
    <x v="2"/>
  </r>
  <r>
    <n v="20845"/>
    <x v="3"/>
  </r>
  <r>
    <n v="20882"/>
    <x v="2"/>
  </r>
  <r>
    <n v="20771"/>
    <x v="2"/>
  </r>
  <r>
    <n v="21006"/>
    <x v="3"/>
  </r>
  <r>
    <n v="20828"/>
    <x v="2"/>
  </r>
  <r>
    <n v="20818"/>
    <x v="2"/>
  </r>
  <r>
    <n v="20781"/>
    <x v="2"/>
  </r>
  <r>
    <n v="21044"/>
    <x v="3"/>
  </r>
  <r>
    <n v="21119"/>
    <x v="3"/>
  </r>
  <r>
    <n v="20830"/>
    <x v="2"/>
  </r>
  <r>
    <n v="20951"/>
    <x v="7"/>
  </r>
  <r>
    <n v="20840"/>
    <x v="2"/>
  </r>
  <r>
    <n v="21111"/>
    <x v="3"/>
  </r>
  <r>
    <n v="20847"/>
    <x v="2"/>
  </r>
  <r>
    <n v="20885"/>
    <x v="2"/>
  </r>
  <r>
    <n v="20870"/>
    <x v="2"/>
  </r>
  <r>
    <n v="20843"/>
    <x v="1"/>
  </r>
  <r>
    <n v="20864"/>
    <x v="2"/>
  </r>
  <r>
    <n v="21109"/>
    <x v="3"/>
  </r>
  <r>
    <n v="21079"/>
    <x v="3"/>
  </r>
  <r>
    <n v="21042"/>
    <x v="3"/>
  </r>
  <r>
    <n v="20684"/>
    <x v="2"/>
  </r>
  <r>
    <n v="20914"/>
    <x v="2"/>
  </r>
  <r>
    <n v="21074"/>
    <x v="3"/>
  </r>
  <r>
    <n v="20953"/>
    <x v="3"/>
  </r>
  <r>
    <n v="20422"/>
    <x v="2"/>
  </r>
  <r>
    <n v="20892"/>
    <x v="6"/>
  </r>
  <r>
    <n v="20997"/>
    <x v="4"/>
  </r>
  <r>
    <n v="20894"/>
    <x v="8"/>
  </r>
  <r>
    <n v="21033"/>
    <x v="3"/>
  </r>
  <r>
    <n v="20398"/>
    <x v="2"/>
  </r>
  <r>
    <n v="20416"/>
    <x v="2"/>
  </r>
  <r>
    <n v="20949"/>
    <x v="2"/>
  </r>
  <r>
    <n v="20803"/>
    <x v="2"/>
  </r>
  <r>
    <n v="20449"/>
    <x v="2"/>
  </r>
  <r>
    <n v="21087"/>
    <x v="3"/>
  </r>
  <r>
    <n v="20824"/>
    <x v="2"/>
  </r>
  <r>
    <n v="20846"/>
    <x v="2"/>
  </r>
  <r>
    <n v="20931"/>
    <x v="2"/>
  </r>
  <r>
    <n v="20852"/>
    <x v="1"/>
  </r>
  <r>
    <n v="20919"/>
    <x v="2"/>
  </r>
  <r>
    <n v="20879"/>
    <x v="2"/>
  </r>
  <r>
    <n v="20957"/>
    <x v="2"/>
  </r>
  <r>
    <n v="21092"/>
    <x v="3"/>
  </r>
  <r>
    <n v="20990"/>
    <x v="4"/>
  </r>
  <r>
    <n v="20812"/>
    <x v="2"/>
  </r>
  <r>
    <n v="20877"/>
    <x v="2"/>
  </r>
  <r>
    <n v="20961"/>
    <x v="2"/>
  </r>
  <r>
    <n v="20429"/>
    <x v="2"/>
  </r>
  <r>
    <n v="21112"/>
    <x v="3"/>
  </r>
  <r>
    <n v="20490"/>
    <x v="2"/>
  </r>
  <r>
    <n v="20922"/>
    <x v="2"/>
  </r>
  <r>
    <n v="21040"/>
    <x v="2"/>
  </r>
  <r>
    <n v="20986"/>
    <x v="2"/>
  </r>
  <r>
    <n v="20937"/>
    <x v="2"/>
  </r>
  <r>
    <n v="21146"/>
    <x v="3"/>
  </r>
  <r>
    <n v="21073"/>
    <x v="3"/>
  </r>
  <r>
    <n v="20886"/>
    <x v="3"/>
  </r>
  <r>
    <n v="21129"/>
    <x v="3"/>
  </r>
  <r>
    <n v="20800"/>
    <x v="2"/>
  </r>
  <r>
    <n v="20670"/>
    <x v="2"/>
  </r>
  <r>
    <n v="21034"/>
    <x v="2"/>
  </r>
  <r>
    <n v="21140"/>
    <x v="3"/>
  </r>
  <r>
    <n v="21022"/>
    <x v="4"/>
  </r>
  <r>
    <n v="20418"/>
    <x v="2"/>
  </r>
  <r>
    <n v="20802"/>
    <x v="2"/>
  </r>
  <r>
    <n v="20901"/>
    <x v="2"/>
  </r>
  <r>
    <n v="21056"/>
    <x v="4"/>
  </r>
  <r>
    <n v="20941"/>
    <x v="2"/>
  </r>
  <r>
    <n v="20883"/>
    <x v="2"/>
  </r>
  <r>
    <n v="21014"/>
    <x v="2"/>
  </r>
  <r>
    <n v="20509"/>
    <x v="2"/>
  </r>
  <r>
    <n v="21037"/>
    <x v="4"/>
  </r>
  <r>
    <n v="21001"/>
    <x v="4"/>
  </r>
  <r>
    <n v="21084"/>
    <x v="4"/>
  </r>
  <r>
    <n v="21057"/>
    <x v="2"/>
  </r>
  <r>
    <n v="20685"/>
    <x v="2"/>
  </r>
  <r>
    <n v="20925"/>
    <x v="2"/>
  </r>
  <r>
    <n v="21086"/>
    <x v="3"/>
  </r>
  <r>
    <n v="21008"/>
    <x v="2"/>
  </r>
  <r>
    <n v="20976"/>
    <x v="2"/>
  </r>
  <r>
    <n v="20906"/>
    <x v="2"/>
  </r>
  <r>
    <n v="21154"/>
    <x v="3"/>
  </r>
  <r>
    <n v="21144"/>
    <x v="3"/>
  </r>
  <r>
    <n v="20936"/>
    <x v="2"/>
  </r>
  <r>
    <n v="21126"/>
    <x v="4"/>
  </r>
  <r>
    <n v="20947"/>
    <x v="2"/>
  </r>
  <r>
    <n v="20601"/>
    <x v="2"/>
  </r>
  <r>
    <n v="20965"/>
    <x v="2"/>
  </r>
  <r>
    <n v="20996"/>
    <x v="2"/>
  </r>
  <r>
    <n v="20985"/>
    <x v="2"/>
  </r>
  <r>
    <n v="20729"/>
    <x v="2"/>
  </r>
  <r>
    <n v="21065"/>
    <x v="2"/>
  </r>
  <r>
    <n v="21105"/>
    <x v="4"/>
  </r>
  <r>
    <n v="21028"/>
    <x v="2"/>
  </r>
  <r>
    <n v="21179"/>
    <x v="3"/>
  </r>
  <r>
    <n v="20586"/>
    <x v="2"/>
  </r>
  <r>
    <n v="21003"/>
    <x v="2"/>
  </r>
  <r>
    <n v="21153"/>
    <x v="3"/>
  </r>
  <r>
    <n v="20948"/>
    <x v="2"/>
  </r>
  <r>
    <n v="21016"/>
    <x v="2"/>
  </r>
  <r>
    <n v="21171"/>
    <x v="3"/>
  </r>
  <r>
    <n v="20956"/>
    <x v="2"/>
  </r>
  <r>
    <n v="21024"/>
    <x v="2"/>
  </r>
  <r>
    <n v="21080"/>
    <x v="2"/>
  </r>
  <r>
    <n v="20663"/>
    <x v="2"/>
  </r>
  <r>
    <n v="21214"/>
    <x v="3"/>
  </r>
  <r>
    <n v="20678"/>
    <x v="2"/>
  </r>
  <r>
    <n v="20970"/>
    <x v="2"/>
  </r>
  <r>
    <n v="20561"/>
    <x v="2"/>
  </r>
  <r>
    <n v="21196"/>
    <x v="3"/>
  </r>
  <r>
    <n v="21038"/>
    <x v="2"/>
  </r>
  <r>
    <n v="20987"/>
    <x v="3"/>
  </r>
  <r>
    <n v="21168"/>
    <x v="3"/>
  </r>
  <r>
    <n v="21163"/>
    <x v="3"/>
  </r>
  <r>
    <n v="21064"/>
    <x v="3"/>
  </r>
  <r>
    <n v="21093"/>
    <x v="4"/>
  </r>
  <r>
    <n v="20773"/>
    <x v="2"/>
  </r>
  <r>
    <n v="21176"/>
    <x v="1"/>
  </r>
  <r>
    <n v="21159"/>
    <x v="3"/>
  </r>
  <r>
    <n v="21135"/>
    <x v="3"/>
  </r>
  <r>
    <n v="21055"/>
    <x v="2"/>
  </r>
  <r>
    <n v="20994"/>
    <x v="2"/>
  </r>
  <r>
    <n v="21048"/>
    <x v="2"/>
  </r>
  <r>
    <n v="20636"/>
    <x v="2"/>
  </r>
  <r>
    <n v="20982"/>
    <x v="2"/>
  </r>
  <r>
    <n v="21032"/>
    <x v="2"/>
  </r>
  <r>
    <n v="21164"/>
    <x v="1"/>
  </r>
  <r>
    <n v="21201"/>
    <x v="4"/>
  </r>
  <r>
    <n v="20597"/>
    <x v="2"/>
  </r>
  <r>
    <n v="21049"/>
    <x v="2"/>
  </r>
  <r>
    <n v="21155"/>
    <x v="2"/>
  </r>
  <r>
    <n v="21142"/>
    <x v="7"/>
  </r>
  <r>
    <n v="21118"/>
    <x v="2"/>
  </r>
  <r>
    <n v="21227"/>
    <x v="3"/>
  </r>
  <r>
    <n v="20765"/>
    <x v="2"/>
  </r>
  <r>
    <n v="21184"/>
    <x v="2"/>
  </r>
  <r>
    <n v="21077"/>
    <x v="2"/>
  </r>
  <r>
    <n v="20991"/>
    <x v="2"/>
  </r>
  <r>
    <n v="21167"/>
    <x v="5"/>
  </r>
  <r>
    <n v="21099"/>
    <x v="3"/>
  </r>
  <r>
    <n v="21157"/>
    <x v="1"/>
  </r>
  <r>
    <n v="21088"/>
    <x v="2"/>
  </r>
  <r>
    <n v="21191"/>
    <x v="7"/>
  </r>
  <r>
    <n v="21131"/>
    <x v="2"/>
  </r>
  <r>
    <n v="21170"/>
    <x v="2"/>
  </r>
  <r>
    <n v="21209"/>
    <x v="7"/>
  </r>
  <r>
    <n v="21190"/>
    <x v="6"/>
  </r>
  <r>
    <n v="21226"/>
    <x v="7"/>
  </r>
  <r>
    <n v="21207"/>
    <x v="2"/>
  </r>
  <r>
    <n v="21252"/>
    <x v="3"/>
  </r>
  <r>
    <n v="21200"/>
    <x v="6"/>
  </r>
  <r>
    <n v="21212"/>
    <x v="2"/>
  </r>
  <r>
    <n v="21194"/>
    <x v="2"/>
  </r>
  <r>
    <n v="21182"/>
    <x v="2"/>
  </r>
  <r>
    <n v="21266"/>
    <x v="3"/>
  </r>
  <r>
    <n v="21265"/>
    <x v="3"/>
  </r>
  <r>
    <n v="21224"/>
    <x v="2"/>
  </r>
  <r>
    <n v="21180"/>
    <x v="2"/>
  </r>
  <r>
    <n v="21267"/>
    <x v="3"/>
  </r>
  <r>
    <n v="21202"/>
    <x v="2"/>
  </r>
  <r>
    <n v="21222"/>
    <x v="2"/>
  </r>
  <r>
    <n v="21233"/>
    <x v="7"/>
  </r>
  <r>
    <n v="21218"/>
    <x v="2"/>
  </r>
  <r>
    <n v="21192"/>
    <x v="1"/>
  </r>
  <r>
    <n v="21245"/>
    <x v="7"/>
  </r>
  <r>
    <n v="21246"/>
    <x v="7"/>
  </r>
  <r>
    <n v="21259"/>
    <x v="7"/>
  </r>
  <r>
    <n v="21276"/>
    <x v="3"/>
  </r>
  <r>
    <n v="21262"/>
    <x v="7"/>
  </r>
  <r>
    <n v="21263"/>
    <x v="7"/>
  </r>
  <r>
    <n v="21248"/>
    <x v="7"/>
  </r>
  <r>
    <n v="21244"/>
    <x v="7"/>
  </r>
  <r>
    <n v="21256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001"/>
    <x v="0"/>
  </r>
  <r>
    <n v="20002"/>
    <x v="1"/>
  </r>
  <r>
    <n v="20003"/>
    <x v="1"/>
  </r>
  <r>
    <n v="20006"/>
    <x v="2"/>
  </r>
  <r>
    <n v="20008"/>
    <x v="2"/>
  </r>
  <r>
    <n v="20010"/>
    <x v="0"/>
  </r>
  <r>
    <n v="20011"/>
    <x v="2"/>
  </r>
  <r>
    <n v="20017"/>
    <x v="2"/>
  </r>
  <r>
    <n v="20018"/>
    <x v="2"/>
  </r>
  <r>
    <n v="20019"/>
    <x v="0"/>
  </r>
  <r>
    <n v="20021"/>
    <x v="0"/>
  </r>
  <r>
    <n v="20026"/>
    <x v="2"/>
  </r>
  <r>
    <n v="20028"/>
    <x v="0"/>
  </r>
  <r>
    <n v="20035"/>
    <x v="0"/>
  </r>
  <r>
    <n v="20039"/>
    <x v="2"/>
  </r>
  <r>
    <n v="20042"/>
    <x v="2"/>
  </r>
  <r>
    <n v="20044"/>
    <x v="2"/>
  </r>
  <r>
    <n v="20045"/>
    <x v="0"/>
  </r>
  <r>
    <n v="20046"/>
    <x v="1"/>
  </r>
  <r>
    <n v="20049"/>
    <x v="0"/>
  </r>
  <r>
    <n v="20051"/>
    <x v="0"/>
  </r>
  <r>
    <n v="20052"/>
    <x v="2"/>
  </r>
  <r>
    <n v="20053"/>
    <x v="2"/>
  </r>
  <r>
    <n v="20055"/>
    <x v="2"/>
  </r>
  <r>
    <n v="20086"/>
    <x v="2"/>
  </r>
  <r>
    <n v="20180"/>
    <x v="3"/>
  </r>
  <r>
    <n v="20193"/>
    <x v="2"/>
  </r>
  <r>
    <n v="20320"/>
    <x v="2"/>
  </r>
  <r>
    <n v="20532"/>
    <x v="2"/>
  </r>
  <r>
    <n v="20612"/>
    <x v="2"/>
  </r>
  <r>
    <n v="20637"/>
    <x v="2"/>
  </r>
  <r>
    <n v="20807"/>
    <x v="2"/>
  </r>
  <r>
    <n v="2083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C72B1-B281-4B14-96F3-CEF92EAC1D3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:I11" firstHeaderRow="1" firstDataRow="1" firstDataCol="1"/>
  <pivotFields count="2">
    <pivotField dataField="1" showAll="0"/>
    <pivotField axis="axisRow" showAll="0">
      <items count="10">
        <item x="2"/>
        <item x="5"/>
        <item x="4"/>
        <item x="0"/>
        <item x="7"/>
        <item x="6"/>
        <item x="8"/>
        <item x="1"/>
        <item x="3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uenta de product_id" fld="0" subtotal="count" baseField="0" baseItem="0"/>
  </dataFields>
  <formats count="3">
    <format dxfId="7">
      <pivotArea dataOnly="0" labelOnly="1" fieldPosition="0">
        <references count="1">
          <reference field="1" count="1">
            <x v="0"/>
          </reference>
        </references>
      </pivotArea>
    </format>
    <format dxfId="6">
      <pivotArea dataOnly="0" labelOnly="1" fieldPosition="0">
        <references count="1">
          <reference field="1" count="1">
            <x v="3"/>
          </reference>
        </references>
      </pivotArea>
    </format>
    <format dxfId="5">
      <pivotArea dataOnly="0" labelOnly="1" fieldPosition="0">
        <references count="1">
          <reference field="1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A1460-9DC1-4A49-BF1E-EA69B76F98A6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:F6" firstHeaderRow="1" firstDataRow="1" firstDataCol="1"/>
  <pivotFields count="2">
    <pivotField dataField="1" showAll="0"/>
    <pivotField axis="axisRow" showAll="0">
      <items count="9">
        <item m="1" x="6"/>
        <item m="1" x="4"/>
        <item x="2"/>
        <item x="1"/>
        <item m="1" x="5"/>
        <item m="1" x="7"/>
        <item x="3"/>
        <item x="0"/>
        <item t="default"/>
      </items>
    </pivotField>
  </pivotFields>
  <rowFields count="1">
    <field x="1"/>
  </rowFields>
  <rowItems count="5">
    <i>
      <x v="2"/>
    </i>
    <i>
      <x v="3"/>
    </i>
    <i>
      <x v="6"/>
    </i>
    <i>
      <x v="7"/>
    </i>
    <i t="grand">
      <x/>
    </i>
  </rowItems>
  <colItems count="1">
    <i/>
  </colItems>
  <dataFields count="1">
    <dataField name="Cuenta de Product_ID" fld="0" subtotal="count" baseField="1" baseItem="0"/>
  </dataFields>
  <formats count="4">
    <format dxfId="4">
      <pivotArea collapsedLevelsAreSubtotals="1" fieldPosition="0">
        <references count="1">
          <reference field="1" count="1">
            <x v="1"/>
          </reference>
        </references>
      </pivotArea>
    </format>
    <format dxfId="3">
      <pivotArea dataOnly="0" labelOnly="1" fieldPosition="0">
        <references count="1">
          <reference field="1" count="1">
            <x v="2"/>
          </reference>
        </references>
      </pivotArea>
    </format>
    <format dxfId="2">
      <pivotArea dataOnly="0" labelOnly="1" fieldPosition="0">
        <references count="1">
          <reference field="1" count="1">
            <x v="3"/>
          </reference>
        </references>
      </pivotArea>
    </format>
    <format dxfId="1">
      <pivotArea dataOnly="0" labelOnly="1" fieldPosition="0">
        <references count="1">
          <reference field="1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285B-9522-4FC9-9747-347A06D07D7E}">
  <dimension ref="A1:M781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RowHeight="15" x14ac:dyDescent="0.25"/>
  <cols>
    <col min="2" max="2" width="14.42578125" bestFit="1" customWidth="1"/>
    <col min="3" max="3" width="22.140625" bestFit="1" customWidth="1"/>
    <col min="4" max="4" width="30.5703125" bestFit="1" customWidth="1"/>
    <col min="5" max="5" width="13.28515625" bestFit="1" customWidth="1"/>
    <col min="6" max="6" width="15.42578125" bestFit="1" customWidth="1"/>
    <col min="7" max="7" width="1.7109375" customWidth="1"/>
    <col min="8" max="8" width="33.85546875" bestFit="1" customWidth="1"/>
    <col min="9" max="9" width="20.42578125" bestFit="1" customWidth="1"/>
    <col min="10" max="10" width="10.5703125" customWidth="1"/>
    <col min="11" max="11" width="19.5703125" bestFit="1" customWidth="1"/>
    <col min="12" max="12" width="12.5703125" bestFit="1" customWidth="1"/>
  </cols>
  <sheetData>
    <row r="1" spans="1:13" x14ac:dyDescent="0.25">
      <c r="A1" s="7" t="s">
        <v>0</v>
      </c>
      <c r="B1" s="7" t="s">
        <v>20</v>
      </c>
      <c r="C1" s="7" t="s">
        <v>4</v>
      </c>
      <c r="D1" s="7" t="s">
        <v>17</v>
      </c>
      <c r="E1" s="7" t="s">
        <v>18</v>
      </c>
      <c r="F1" s="7" t="s">
        <v>19</v>
      </c>
      <c r="H1" s="1" t="s">
        <v>1</v>
      </c>
      <c r="I1" t="s">
        <v>3</v>
      </c>
      <c r="K1" s="7" t="s">
        <v>4</v>
      </c>
      <c r="M1" s="7" t="s">
        <v>16</v>
      </c>
    </row>
    <row r="2" spans="1:13" x14ac:dyDescent="0.25">
      <c r="A2">
        <v>20002</v>
      </c>
      <c r="B2">
        <v>3</v>
      </c>
      <c r="C2" s="5">
        <v>1496.8074300000001</v>
      </c>
      <c r="D2">
        <v>12</v>
      </c>
      <c r="E2" s="3">
        <f>$C2/SUMIF($B$2:$B$781,B2,$C$2:$C$781)</f>
        <v>0.45196105723412738</v>
      </c>
      <c r="F2" t="str">
        <f>IF(AND(OR(B2=0,B2=3,B2=7),D2=12),"Sí","")</f>
        <v>Sí</v>
      </c>
      <c r="H2" s="10">
        <v>0</v>
      </c>
      <c r="I2">
        <v>456</v>
      </c>
      <c r="J2" s="3">
        <f>I2/I$11</f>
        <v>0.58461538461538465</v>
      </c>
      <c r="K2" s="5">
        <f>SUMIF($B$2:$B$781,H2,$C$2:$C$781)</f>
        <v>15263.190493333304</v>
      </c>
      <c r="L2" s="11">
        <f>K2/K$11</f>
        <v>0.49665076205069036</v>
      </c>
      <c r="M2" s="8" t="s">
        <v>8</v>
      </c>
    </row>
    <row r="3" spans="1:13" x14ac:dyDescent="0.25">
      <c r="A3">
        <v>20001</v>
      </c>
      <c r="B3">
        <v>7</v>
      </c>
      <c r="C3" s="5">
        <v>1487.8554633333299</v>
      </c>
      <c r="D3">
        <v>12</v>
      </c>
      <c r="E3" s="3">
        <f t="shared" ref="E3:E66" si="0">$C3/SUMIF($B$2:$B$781,B3,$C$2:$C$781)</f>
        <v>0.22459248528626224</v>
      </c>
      <c r="F3" t="str">
        <f t="shared" ref="F3:F66" si="1">IF(AND(OR(B3=0,B3=3,B3=7),D3=12),"Sí","")</f>
        <v>Sí</v>
      </c>
      <c r="H3" s="2">
        <v>1</v>
      </c>
      <c r="I3">
        <v>14</v>
      </c>
      <c r="J3" s="3">
        <f t="shared" ref="J3:J11" si="2">I3/I$11</f>
        <v>1.7948717948717947E-2</v>
      </c>
      <c r="K3" s="5">
        <f t="shared" ref="K3:K10" si="3">SUMIF($B$2:$B$781,H3,$C$2:$C$781)</f>
        <v>438.70251333333243</v>
      </c>
      <c r="L3" s="3">
        <f t="shared" ref="L3:L11" si="4">K3/K$11</f>
        <v>1.4274993007243128E-2</v>
      </c>
      <c r="M3" s="8" t="s">
        <v>13</v>
      </c>
    </row>
    <row r="4" spans="1:13" x14ac:dyDescent="0.25">
      <c r="A4">
        <v>20003</v>
      </c>
      <c r="B4">
        <v>3</v>
      </c>
      <c r="C4" s="5">
        <v>974.05389000000002</v>
      </c>
      <c r="D4">
        <v>12</v>
      </c>
      <c r="E4" s="3">
        <f t="shared" si="0"/>
        <v>0.29411560706069878</v>
      </c>
      <c r="F4" t="str">
        <f t="shared" si="1"/>
        <v>Sí</v>
      </c>
      <c r="H4" s="2">
        <v>2</v>
      </c>
      <c r="I4">
        <v>66</v>
      </c>
      <c r="J4" s="3">
        <f t="shared" si="2"/>
        <v>8.461538461538462E-2</v>
      </c>
      <c r="K4" s="5">
        <f t="shared" si="3"/>
        <v>2473.6054366666644</v>
      </c>
      <c r="L4" s="3">
        <f t="shared" si="4"/>
        <v>8.0488940085614788E-2</v>
      </c>
      <c r="M4" s="8" t="s">
        <v>11</v>
      </c>
    </row>
    <row r="5" spans="1:13" x14ac:dyDescent="0.25">
      <c r="A5">
        <v>20004</v>
      </c>
      <c r="B5">
        <v>7</v>
      </c>
      <c r="C5" s="5">
        <v>808.84613666666598</v>
      </c>
      <c r="D5">
        <v>12</v>
      </c>
      <c r="E5" s="3">
        <f t="shared" si="0"/>
        <v>0.12209570655550975</v>
      </c>
      <c r="F5" t="str">
        <f t="shared" si="1"/>
        <v>Sí</v>
      </c>
      <c r="H5" s="10">
        <v>3</v>
      </c>
      <c r="I5">
        <v>13</v>
      </c>
      <c r="J5" s="3">
        <f t="shared" si="2"/>
        <v>1.6666666666666666E-2</v>
      </c>
      <c r="K5" s="5">
        <f t="shared" si="3"/>
        <v>3311.8061966666646</v>
      </c>
      <c r="L5" s="11">
        <f t="shared" si="4"/>
        <v>0.10776325382672268</v>
      </c>
      <c r="M5" s="8" t="s">
        <v>10</v>
      </c>
    </row>
    <row r="6" spans="1:13" x14ac:dyDescent="0.25">
      <c r="A6">
        <v>20005</v>
      </c>
      <c r="B6">
        <v>0</v>
      </c>
      <c r="C6" s="5">
        <v>732.31296999999995</v>
      </c>
      <c r="D6">
        <v>12</v>
      </c>
      <c r="E6" s="3">
        <f t="shared" si="0"/>
        <v>4.7979023148525958E-2</v>
      </c>
      <c r="F6" t="str">
        <f t="shared" si="1"/>
        <v>Sí</v>
      </c>
      <c r="H6" s="2">
        <v>4</v>
      </c>
      <c r="I6">
        <v>19</v>
      </c>
      <c r="J6" s="3">
        <f t="shared" si="2"/>
        <v>2.4358974358974359E-2</v>
      </c>
      <c r="K6" s="5">
        <f t="shared" si="3"/>
        <v>86.444613333333308</v>
      </c>
      <c r="L6" s="3">
        <f t="shared" si="4"/>
        <v>2.8128315050467037E-3</v>
      </c>
      <c r="M6" s="8" t="s">
        <v>15</v>
      </c>
    </row>
    <row r="7" spans="1:13" x14ac:dyDescent="0.25">
      <c r="A7">
        <v>20032</v>
      </c>
      <c r="B7" t="s">
        <v>21</v>
      </c>
      <c r="C7" s="5">
        <v>728.55480666666597</v>
      </c>
      <c r="D7">
        <v>0</v>
      </c>
      <c r="E7" s="3">
        <f t="shared" si="0"/>
        <v>0.31630126729583186</v>
      </c>
      <c r="F7" t="str">
        <f t="shared" si="1"/>
        <v/>
      </c>
      <c r="H7" s="2">
        <v>5</v>
      </c>
      <c r="I7">
        <v>15</v>
      </c>
      <c r="J7" s="3">
        <f t="shared" si="2"/>
        <v>1.9230769230769232E-2</v>
      </c>
      <c r="K7" s="5">
        <f t="shared" si="3"/>
        <v>229.25646666666646</v>
      </c>
      <c r="L7" s="3">
        <f t="shared" si="4"/>
        <v>7.459803304216168E-3</v>
      </c>
      <c r="M7" s="8" t="s">
        <v>14</v>
      </c>
    </row>
    <row r="8" spans="1:13" x14ac:dyDescent="0.25">
      <c r="A8">
        <v>20009</v>
      </c>
      <c r="B8">
        <v>2</v>
      </c>
      <c r="C8" s="5">
        <v>587.69260333333295</v>
      </c>
      <c r="D8">
        <v>12</v>
      </c>
      <c r="E8" s="3">
        <f t="shared" si="0"/>
        <v>0.23758542677092628</v>
      </c>
      <c r="F8" t="str">
        <f t="shared" si="1"/>
        <v/>
      </c>
      <c r="H8" s="2">
        <v>6</v>
      </c>
      <c r="I8">
        <v>1</v>
      </c>
      <c r="J8" s="3">
        <f t="shared" si="2"/>
        <v>1.2820512820512821E-3</v>
      </c>
      <c r="K8" s="5">
        <f t="shared" si="3"/>
        <v>1.1877899999999999</v>
      </c>
      <c r="L8" s="3">
        <f t="shared" si="4"/>
        <v>3.8649639399695288E-5</v>
      </c>
      <c r="M8" s="8" t="s">
        <v>22</v>
      </c>
    </row>
    <row r="9" spans="1:13" x14ac:dyDescent="0.25">
      <c r="A9">
        <v>20006</v>
      </c>
      <c r="B9">
        <v>0</v>
      </c>
      <c r="C9" s="5">
        <v>448.39092666666602</v>
      </c>
      <c r="D9">
        <v>12</v>
      </c>
      <c r="E9" s="3">
        <f t="shared" si="0"/>
        <v>2.9377273831609148E-2</v>
      </c>
      <c r="F9" t="str">
        <f t="shared" si="1"/>
        <v>Sí</v>
      </c>
      <c r="H9" s="10">
        <v>7</v>
      </c>
      <c r="I9">
        <v>72</v>
      </c>
      <c r="J9" s="3">
        <f t="shared" si="2"/>
        <v>9.2307692307692313E-2</v>
      </c>
      <c r="K9" s="5">
        <f t="shared" si="3"/>
        <v>6624.6894299999904</v>
      </c>
      <c r="L9" s="11">
        <f t="shared" si="4"/>
        <v>0.21556155347702252</v>
      </c>
      <c r="M9" s="8" t="s">
        <v>9</v>
      </c>
    </row>
    <row r="10" spans="1:13" x14ac:dyDescent="0.25">
      <c r="A10">
        <v>20010</v>
      </c>
      <c r="B10">
        <v>7</v>
      </c>
      <c r="C10" s="5">
        <v>426.46244666666598</v>
      </c>
      <c r="D10">
        <v>12</v>
      </c>
      <c r="E10" s="3">
        <f t="shared" si="0"/>
        <v>6.4374707852027799E-2</v>
      </c>
      <c r="F10" t="str">
        <f t="shared" si="1"/>
        <v>Sí</v>
      </c>
      <c r="H10" s="2" t="s">
        <v>21</v>
      </c>
      <c r="I10">
        <v>124</v>
      </c>
      <c r="J10" s="3">
        <f t="shared" si="2"/>
        <v>0.15897435897435896</v>
      </c>
      <c r="K10" s="5">
        <f t="shared" si="3"/>
        <v>2303.3572166666645</v>
      </c>
      <c r="L10" s="3">
        <f t="shared" si="4"/>
        <v>7.4949213104043982E-2</v>
      </c>
      <c r="M10" s="8" t="s">
        <v>12</v>
      </c>
    </row>
    <row r="11" spans="1:13" x14ac:dyDescent="0.25">
      <c r="A11">
        <v>20014</v>
      </c>
      <c r="B11">
        <v>0</v>
      </c>
      <c r="C11" s="5">
        <v>399.96319999999997</v>
      </c>
      <c r="D11">
        <v>12</v>
      </c>
      <c r="E11" s="3">
        <f t="shared" si="0"/>
        <v>2.6204429550603914E-2</v>
      </c>
      <c r="F11" t="str">
        <f t="shared" si="1"/>
        <v>Sí</v>
      </c>
      <c r="H11" s="2" t="s">
        <v>2</v>
      </c>
      <c r="I11">
        <v>780</v>
      </c>
      <c r="J11" s="4">
        <f t="shared" si="2"/>
        <v>1</v>
      </c>
      <c r="K11" s="6">
        <f>SUM(K2:K10)</f>
        <v>30732.240156666619</v>
      </c>
      <c r="L11" s="4">
        <f t="shared" si="4"/>
        <v>1</v>
      </c>
    </row>
    <row r="12" spans="1:13" x14ac:dyDescent="0.25">
      <c r="A12">
        <v>20007</v>
      </c>
      <c r="B12">
        <v>0</v>
      </c>
      <c r="C12" s="5">
        <v>397.88076333333299</v>
      </c>
      <c r="D12">
        <v>12</v>
      </c>
      <c r="E12" s="3">
        <f t="shared" si="0"/>
        <v>2.6067994336251021E-2</v>
      </c>
      <c r="F12" t="str">
        <f t="shared" si="1"/>
        <v>Sí</v>
      </c>
    </row>
    <row r="13" spans="1:13" x14ac:dyDescent="0.25">
      <c r="A13">
        <v>20019</v>
      </c>
      <c r="B13">
        <v>7</v>
      </c>
      <c r="C13" s="5">
        <v>394.184233333333</v>
      </c>
      <c r="D13">
        <v>12</v>
      </c>
      <c r="E13" s="3">
        <f t="shared" si="0"/>
        <v>5.9502296296074605E-2</v>
      </c>
      <c r="F13" t="str">
        <f t="shared" si="1"/>
        <v>Sí</v>
      </c>
    </row>
    <row r="14" spans="1:13" x14ac:dyDescent="0.25">
      <c r="A14">
        <v>20013</v>
      </c>
      <c r="B14">
        <v>0</v>
      </c>
      <c r="C14" s="5">
        <v>393.86255999999997</v>
      </c>
      <c r="D14">
        <v>12</v>
      </c>
      <c r="E14" s="3">
        <f t="shared" si="0"/>
        <v>2.5804733300814942E-2</v>
      </c>
      <c r="F14" t="str">
        <f t="shared" si="1"/>
        <v>Sí</v>
      </c>
    </row>
    <row r="15" spans="1:13" x14ac:dyDescent="0.25">
      <c r="A15">
        <v>20011</v>
      </c>
      <c r="B15">
        <v>0</v>
      </c>
      <c r="C15" s="5">
        <v>370.07333999999997</v>
      </c>
      <c r="D15">
        <v>12</v>
      </c>
      <c r="E15" s="3">
        <f t="shared" si="0"/>
        <v>2.4246132560662305E-2</v>
      </c>
      <c r="F15" t="str">
        <f t="shared" si="1"/>
        <v>Sí</v>
      </c>
    </row>
    <row r="16" spans="1:13" x14ac:dyDescent="0.25">
      <c r="A16">
        <v>20015</v>
      </c>
      <c r="B16">
        <v>3</v>
      </c>
      <c r="C16" s="5">
        <v>364.10170333333298</v>
      </c>
      <c r="D16">
        <v>12</v>
      </c>
      <c r="E16" s="3">
        <f t="shared" si="0"/>
        <v>0.10994052239524209</v>
      </c>
      <c r="F16" t="str">
        <f t="shared" si="1"/>
        <v>Sí</v>
      </c>
    </row>
    <row r="17" spans="1:6" x14ac:dyDescent="0.25">
      <c r="A17">
        <v>20008</v>
      </c>
      <c r="B17">
        <v>0</v>
      </c>
      <c r="C17" s="5">
        <v>348.21294666666603</v>
      </c>
      <c r="D17">
        <v>12</v>
      </c>
      <c r="E17" s="3">
        <f t="shared" si="0"/>
        <v>2.2813902952908791E-2</v>
      </c>
      <c r="F17" t="str">
        <f t="shared" si="1"/>
        <v>Sí</v>
      </c>
    </row>
    <row r="18" spans="1:6" x14ac:dyDescent="0.25">
      <c r="A18">
        <v>20026</v>
      </c>
      <c r="B18">
        <v>0</v>
      </c>
      <c r="C18" s="5">
        <v>306.54185333333299</v>
      </c>
      <c r="D18">
        <v>12</v>
      </c>
      <c r="E18" s="3">
        <f t="shared" si="0"/>
        <v>2.0083733703462926E-2</v>
      </c>
      <c r="F18" t="str">
        <f t="shared" si="1"/>
        <v>Sí</v>
      </c>
    </row>
    <row r="19" spans="1:6" x14ac:dyDescent="0.25">
      <c r="A19">
        <v>20016</v>
      </c>
      <c r="B19">
        <v>0</v>
      </c>
      <c r="C19" s="5">
        <v>281.34834000000001</v>
      </c>
      <c r="D19">
        <v>12</v>
      </c>
      <c r="E19" s="3">
        <f t="shared" si="0"/>
        <v>1.8433127734524973E-2</v>
      </c>
      <c r="F19" t="str">
        <f t="shared" si="1"/>
        <v>Sí</v>
      </c>
    </row>
    <row r="20" spans="1:6" x14ac:dyDescent="0.25">
      <c r="A20">
        <v>20023</v>
      </c>
      <c r="B20">
        <v>0</v>
      </c>
      <c r="C20" s="5">
        <v>281.27645000000001</v>
      </c>
      <c r="D20">
        <v>12</v>
      </c>
      <c r="E20" s="3">
        <f t="shared" si="0"/>
        <v>1.842841771010174E-2</v>
      </c>
      <c r="F20" t="str">
        <f t="shared" si="1"/>
        <v>Sí</v>
      </c>
    </row>
    <row r="21" spans="1:6" x14ac:dyDescent="0.25">
      <c r="A21">
        <v>20020</v>
      </c>
      <c r="B21">
        <v>0</v>
      </c>
      <c r="C21" s="5">
        <v>275.25970999999998</v>
      </c>
      <c r="D21">
        <v>12</v>
      </c>
      <c r="E21" s="3">
        <f t="shared" si="0"/>
        <v>1.8034218345124409E-2</v>
      </c>
      <c r="F21" t="str">
        <f t="shared" si="1"/>
        <v>Sí</v>
      </c>
    </row>
    <row r="22" spans="1:6" x14ac:dyDescent="0.25">
      <c r="A22">
        <v>20127</v>
      </c>
      <c r="B22" t="s">
        <v>21</v>
      </c>
      <c r="C22" s="5">
        <v>273.64860333333303</v>
      </c>
      <c r="D22">
        <v>0</v>
      </c>
      <c r="E22" s="3">
        <f t="shared" si="0"/>
        <v>0.1188042398952549</v>
      </c>
      <c r="F22" t="str">
        <f t="shared" si="1"/>
        <v/>
      </c>
    </row>
    <row r="23" spans="1:6" x14ac:dyDescent="0.25">
      <c r="A23">
        <v>20012</v>
      </c>
      <c r="B23">
        <v>0</v>
      </c>
      <c r="C23" s="5">
        <v>270.84656333333299</v>
      </c>
      <c r="D23">
        <v>12</v>
      </c>
      <c r="E23" s="3">
        <f t="shared" si="0"/>
        <v>1.7745081767251352E-2</v>
      </c>
      <c r="F23" t="str">
        <f t="shared" si="1"/>
        <v>Sí</v>
      </c>
    </row>
    <row r="24" spans="1:6" x14ac:dyDescent="0.25">
      <c r="A24">
        <v>20017</v>
      </c>
      <c r="B24">
        <v>0</v>
      </c>
      <c r="C24" s="5">
        <v>245.29899</v>
      </c>
      <c r="D24">
        <v>12</v>
      </c>
      <c r="E24" s="3">
        <f t="shared" si="0"/>
        <v>1.6071278813374067E-2</v>
      </c>
      <c r="F24" t="str">
        <f t="shared" si="1"/>
        <v>Sí</v>
      </c>
    </row>
    <row r="25" spans="1:6" x14ac:dyDescent="0.25">
      <c r="A25">
        <v>20021</v>
      </c>
      <c r="B25">
        <v>7</v>
      </c>
      <c r="C25" s="5">
        <v>244.768206666666</v>
      </c>
      <c r="D25">
        <v>12</v>
      </c>
      <c r="E25" s="3">
        <f t="shared" si="0"/>
        <v>3.6947876463193891E-2</v>
      </c>
      <c r="F25" t="str">
        <f t="shared" si="1"/>
        <v>Sí</v>
      </c>
    </row>
    <row r="26" spans="1:6" x14ac:dyDescent="0.25">
      <c r="A26">
        <v>20022</v>
      </c>
      <c r="B26">
        <v>1</v>
      </c>
      <c r="C26" s="5">
        <v>241.02621666666599</v>
      </c>
      <c r="D26">
        <v>12</v>
      </c>
      <c r="E26" s="3">
        <f t="shared" si="0"/>
        <v>0.54940696563443403</v>
      </c>
      <c r="F26" t="str">
        <f t="shared" si="1"/>
        <v/>
      </c>
    </row>
    <row r="27" spans="1:6" x14ac:dyDescent="0.25">
      <c r="A27">
        <v>20018</v>
      </c>
      <c r="B27">
        <v>0</v>
      </c>
      <c r="C27" s="5">
        <v>224.56842333333299</v>
      </c>
      <c r="D27">
        <v>12</v>
      </c>
      <c r="E27" s="3">
        <f t="shared" si="0"/>
        <v>1.4713072173961306E-2</v>
      </c>
      <c r="F27" t="str">
        <f t="shared" si="1"/>
        <v>Sí</v>
      </c>
    </row>
    <row r="28" spans="1:6" x14ac:dyDescent="0.25">
      <c r="A28">
        <v>20027</v>
      </c>
      <c r="B28">
        <v>2</v>
      </c>
      <c r="C28" s="5">
        <v>216.335023333333</v>
      </c>
      <c r="D28">
        <v>12</v>
      </c>
      <c r="E28" s="3">
        <f t="shared" si="0"/>
        <v>8.7457368958914386E-2</v>
      </c>
      <c r="F28" t="str">
        <f t="shared" si="1"/>
        <v/>
      </c>
    </row>
    <row r="29" spans="1:6" x14ac:dyDescent="0.25">
      <c r="A29">
        <v>20024</v>
      </c>
      <c r="B29">
        <v>0</v>
      </c>
      <c r="C29" s="5">
        <v>210.25368</v>
      </c>
      <c r="D29">
        <v>12</v>
      </c>
      <c r="E29" s="3">
        <f t="shared" si="0"/>
        <v>1.3775211682762863E-2</v>
      </c>
      <c r="F29" t="str">
        <f t="shared" si="1"/>
        <v>Sí</v>
      </c>
    </row>
    <row r="30" spans="1:6" x14ac:dyDescent="0.25">
      <c r="A30">
        <v>20025</v>
      </c>
      <c r="B30">
        <v>0</v>
      </c>
      <c r="C30" s="5">
        <v>210.06258</v>
      </c>
      <c r="D30">
        <v>12</v>
      </c>
      <c r="E30" s="3">
        <f t="shared" si="0"/>
        <v>1.3762691364675797E-2</v>
      </c>
      <c r="F30" t="str">
        <f t="shared" si="1"/>
        <v>Sí</v>
      </c>
    </row>
    <row r="31" spans="1:6" x14ac:dyDescent="0.25">
      <c r="A31">
        <v>20085</v>
      </c>
      <c r="B31">
        <v>2</v>
      </c>
      <c r="C31" s="5">
        <v>209.58541333333301</v>
      </c>
      <c r="D31">
        <v>3</v>
      </c>
      <c r="E31" s="3">
        <f t="shared" si="0"/>
        <v>8.4728716320967609E-2</v>
      </c>
      <c r="F31" t="str">
        <f t="shared" si="1"/>
        <v/>
      </c>
    </row>
    <row r="32" spans="1:6" x14ac:dyDescent="0.25">
      <c r="A32">
        <v>20031</v>
      </c>
      <c r="B32">
        <v>0</v>
      </c>
      <c r="C32" s="5">
        <v>201.13181999999901</v>
      </c>
      <c r="D32">
        <v>12</v>
      </c>
      <c r="E32" s="3">
        <f t="shared" si="0"/>
        <v>1.3177573855731532E-2</v>
      </c>
      <c r="F32" t="str">
        <f t="shared" si="1"/>
        <v>Sí</v>
      </c>
    </row>
    <row r="33" spans="1:6" x14ac:dyDescent="0.25">
      <c r="A33">
        <v>20089</v>
      </c>
      <c r="B33">
        <v>2</v>
      </c>
      <c r="C33" s="5">
        <v>190.611756666666</v>
      </c>
      <c r="D33">
        <v>5</v>
      </c>
      <c r="E33" s="3">
        <f t="shared" si="0"/>
        <v>7.7058270426316286E-2</v>
      </c>
      <c r="F33" t="str">
        <f t="shared" si="1"/>
        <v/>
      </c>
    </row>
    <row r="34" spans="1:6" x14ac:dyDescent="0.25">
      <c r="A34">
        <v>20042</v>
      </c>
      <c r="B34">
        <v>0</v>
      </c>
      <c r="C34" s="5">
        <v>181.32715666666601</v>
      </c>
      <c r="D34">
        <v>12</v>
      </c>
      <c r="E34" s="3">
        <f t="shared" si="0"/>
        <v>1.1880029718941565E-2</v>
      </c>
      <c r="F34" t="str">
        <f t="shared" si="1"/>
        <v>Sí</v>
      </c>
    </row>
    <row r="35" spans="1:6" x14ac:dyDescent="0.25">
      <c r="A35">
        <v>20046</v>
      </c>
      <c r="B35">
        <v>3</v>
      </c>
      <c r="C35" s="5">
        <v>180.38458</v>
      </c>
      <c r="D35">
        <v>12</v>
      </c>
      <c r="E35" s="3">
        <f t="shared" si="0"/>
        <v>5.4467130408040548E-2</v>
      </c>
      <c r="F35" t="str">
        <f t="shared" si="1"/>
        <v>Sí</v>
      </c>
    </row>
    <row r="36" spans="1:6" x14ac:dyDescent="0.25">
      <c r="A36">
        <v>20049</v>
      </c>
      <c r="B36">
        <v>7</v>
      </c>
      <c r="C36" s="5">
        <v>179.58668</v>
      </c>
      <c r="D36">
        <v>12</v>
      </c>
      <c r="E36" s="3">
        <f t="shared" si="0"/>
        <v>2.7108694210892278E-2</v>
      </c>
      <c r="F36" t="str">
        <f t="shared" si="1"/>
        <v>Sí</v>
      </c>
    </row>
    <row r="37" spans="1:6" x14ac:dyDescent="0.25">
      <c r="A37">
        <v>20028</v>
      </c>
      <c r="B37">
        <v>7</v>
      </c>
      <c r="C37" s="5">
        <v>171.26382000000001</v>
      </c>
      <c r="D37">
        <v>12</v>
      </c>
      <c r="E37" s="3">
        <f t="shared" si="0"/>
        <v>2.5852354560868866E-2</v>
      </c>
      <c r="F37" t="str">
        <f t="shared" si="1"/>
        <v>Sí</v>
      </c>
    </row>
    <row r="38" spans="1:6" x14ac:dyDescent="0.25">
      <c r="A38">
        <v>20029</v>
      </c>
      <c r="B38">
        <v>0</v>
      </c>
      <c r="C38" s="5">
        <v>169.511153333333</v>
      </c>
      <c r="D38">
        <v>12</v>
      </c>
      <c r="E38" s="3">
        <f t="shared" si="0"/>
        <v>1.1105879429819901E-2</v>
      </c>
      <c r="F38" t="str">
        <f t="shared" si="1"/>
        <v>Sí</v>
      </c>
    </row>
    <row r="39" spans="1:6" x14ac:dyDescent="0.25">
      <c r="A39">
        <v>20035</v>
      </c>
      <c r="B39">
        <v>7</v>
      </c>
      <c r="C39" s="5">
        <v>168.89314999999999</v>
      </c>
      <c r="D39">
        <v>12</v>
      </c>
      <c r="E39" s="3">
        <f t="shared" si="0"/>
        <v>2.5494500804092823E-2</v>
      </c>
      <c r="F39" t="str">
        <f t="shared" si="1"/>
        <v>Sí</v>
      </c>
    </row>
    <row r="40" spans="1:6" x14ac:dyDescent="0.25">
      <c r="A40">
        <v>20045</v>
      </c>
      <c r="B40">
        <v>7</v>
      </c>
      <c r="C40" s="5">
        <v>167.93541999999999</v>
      </c>
      <c r="D40">
        <v>12</v>
      </c>
      <c r="E40" s="3">
        <f t="shared" si="0"/>
        <v>2.5349931008011077E-2</v>
      </c>
      <c r="F40" t="str">
        <f t="shared" si="1"/>
        <v>Sí</v>
      </c>
    </row>
    <row r="41" spans="1:6" x14ac:dyDescent="0.25">
      <c r="A41">
        <v>20044</v>
      </c>
      <c r="B41">
        <v>0</v>
      </c>
      <c r="C41" s="5">
        <v>164.60371000000001</v>
      </c>
      <c r="D41">
        <v>12</v>
      </c>
      <c r="E41" s="3">
        <f t="shared" si="0"/>
        <v>1.0784357967090565E-2</v>
      </c>
      <c r="F41" t="str">
        <f t="shared" si="1"/>
        <v>Sí</v>
      </c>
    </row>
    <row r="42" spans="1:6" x14ac:dyDescent="0.25">
      <c r="A42">
        <v>20033</v>
      </c>
      <c r="B42">
        <v>7</v>
      </c>
      <c r="C42" s="5">
        <v>161.61418</v>
      </c>
      <c r="D42">
        <v>12</v>
      </c>
      <c r="E42" s="3">
        <f t="shared" si="0"/>
        <v>2.4395736842866646E-2</v>
      </c>
      <c r="F42" t="str">
        <f t="shared" si="1"/>
        <v>Sí</v>
      </c>
    </row>
    <row r="43" spans="1:6" x14ac:dyDescent="0.25">
      <c r="A43">
        <v>20054</v>
      </c>
      <c r="B43">
        <v>0</v>
      </c>
      <c r="C43" s="5">
        <v>157.7758</v>
      </c>
      <c r="D43">
        <v>12</v>
      </c>
      <c r="E43" s="3">
        <f t="shared" si="0"/>
        <v>1.0337013094930167E-2</v>
      </c>
      <c r="F43" t="str">
        <f t="shared" si="1"/>
        <v>Sí</v>
      </c>
    </row>
    <row r="44" spans="1:6" x14ac:dyDescent="0.25">
      <c r="A44">
        <v>20053</v>
      </c>
      <c r="B44">
        <v>0</v>
      </c>
      <c r="C44" s="5">
        <v>157.45154666666599</v>
      </c>
      <c r="D44">
        <v>12</v>
      </c>
      <c r="E44" s="3">
        <f t="shared" si="0"/>
        <v>1.0315768956394673E-2</v>
      </c>
      <c r="F44" t="str">
        <f t="shared" si="1"/>
        <v>Sí</v>
      </c>
    </row>
    <row r="45" spans="1:6" x14ac:dyDescent="0.25">
      <c r="A45">
        <v>20038</v>
      </c>
      <c r="B45">
        <v>0</v>
      </c>
      <c r="C45" s="5">
        <v>152.71109666666601</v>
      </c>
      <c r="D45">
        <v>12</v>
      </c>
      <c r="E45" s="3">
        <f t="shared" si="0"/>
        <v>1.0005188412826764E-2</v>
      </c>
      <c r="F45" t="str">
        <f t="shared" si="1"/>
        <v>Sí</v>
      </c>
    </row>
    <row r="46" spans="1:6" x14ac:dyDescent="0.25">
      <c r="A46">
        <v>20039</v>
      </c>
      <c r="B46">
        <v>0</v>
      </c>
      <c r="C46" s="5">
        <v>148.752266666666</v>
      </c>
      <c r="D46">
        <v>12</v>
      </c>
      <c r="E46" s="3">
        <f t="shared" si="0"/>
        <v>9.7458173460940826E-3</v>
      </c>
      <c r="F46" t="str">
        <f t="shared" si="1"/>
        <v>Sí</v>
      </c>
    </row>
    <row r="47" spans="1:6" x14ac:dyDescent="0.25">
      <c r="A47">
        <v>20059</v>
      </c>
      <c r="B47">
        <v>0</v>
      </c>
      <c r="C47" s="5">
        <v>148.21519000000001</v>
      </c>
      <c r="D47">
        <v>12</v>
      </c>
      <c r="E47" s="3">
        <f t="shared" si="0"/>
        <v>9.7106296396377821E-3</v>
      </c>
      <c r="F47" t="str">
        <f t="shared" si="1"/>
        <v>Sí</v>
      </c>
    </row>
    <row r="48" spans="1:6" x14ac:dyDescent="0.25">
      <c r="A48">
        <v>20084</v>
      </c>
      <c r="B48">
        <v>2</v>
      </c>
      <c r="C48" s="5">
        <v>146.88954000000001</v>
      </c>
      <c r="D48">
        <v>12</v>
      </c>
      <c r="E48" s="3">
        <f t="shared" si="0"/>
        <v>5.9382768901875757E-2</v>
      </c>
      <c r="F48" t="str">
        <f t="shared" si="1"/>
        <v/>
      </c>
    </row>
    <row r="49" spans="1:6" x14ac:dyDescent="0.25">
      <c r="A49">
        <v>20047</v>
      </c>
      <c r="B49">
        <v>0</v>
      </c>
      <c r="C49" s="5">
        <v>146.85475</v>
      </c>
      <c r="D49">
        <v>12</v>
      </c>
      <c r="E49" s="3">
        <f t="shared" si="0"/>
        <v>9.6214975541413575E-3</v>
      </c>
      <c r="F49" t="str">
        <f t="shared" si="1"/>
        <v>Sí</v>
      </c>
    </row>
    <row r="50" spans="1:6" x14ac:dyDescent="0.25">
      <c r="A50">
        <v>20041</v>
      </c>
      <c r="B50">
        <v>7</v>
      </c>
      <c r="C50" s="5">
        <v>146.28147999999999</v>
      </c>
      <c r="D50">
        <v>12</v>
      </c>
      <c r="E50" s="3">
        <f t="shared" si="0"/>
        <v>2.2081258532296238E-2</v>
      </c>
      <c r="F50" t="str">
        <f t="shared" si="1"/>
        <v>Sí</v>
      </c>
    </row>
    <row r="51" spans="1:6" x14ac:dyDescent="0.25">
      <c r="A51">
        <v>20061</v>
      </c>
      <c r="B51">
        <v>0</v>
      </c>
      <c r="C51" s="5">
        <v>143.137243333333</v>
      </c>
      <c r="D51">
        <v>12</v>
      </c>
      <c r="E51" s="3">
        <f t="shared" si="0"/>
        <v>9.3779372927208678E-3</v>
      </c>
      <c r="F51" t="str">
        <f t="shared" si="1"/>
        <v>Sí</v>
      </c>
    </row>
    <row r="52" spans="1:6" x14ac:dyDescent="0.25">
      <c r="A52">
        <v>20051</v>
      </c>
      <c r="B52">
        <v>7</v>
      </c>
      <c r="C52" s="5">
        <v>136.74148666666599</v>
      </c>
      <c r="D52">
        <v>12</v>
      </c>
      <c r="E52" s="3">
        <f t="shared" si="0"/>
        <v>2.0641192030441523E-2</v>
      </c>
      <c r="F52" t="str">
        <f t="shared" si="1"/>
        <v>Sí</v>
      </c>
    </row>
    <row r="53" spans="1:6" x14ac:dyDescent="0.25">
      <c r="A53">
        <v>20043</v>
      </c>
      <c r="B53">
        <v>0</v>
      </c>
      <c r="C53" s="5">
        <v>135.94379999999899</v>
      </c>
      <c r="D53">
        <v>12</v>
      </c>
      <c r="E53" s="3">
        <f t="shared" si="0"/>
        <v>8.9066437360771234E-3</v>
      </c>
      <c r="F53" t="str">
        <f t="shared" si="1"/>
        <v>Sí</v>
      </c>
    </row>
    <row r="54" spans="1:6" x14ac:dyDescent="0.25">
      <c r="A54">
        <v>20075</v>
      </c>
      <c r="B54">
        <v>0</v>
      </c>
      <c r="C54" s="5">
        <v>135.36904999999999</v>
      </c>
      <c r="D54">
        <v>12</v>
      </c>
      <c r="E54" s="3">
        <f t="shared" si="0"/>
        <v>8.8689877820188924E-3</v>
      </c>
      <c r="F54" t="str">
        <f t="shared" si="1"/>
        <v>Sí</v>
      </c>
    </row>
    <row r="55" spans="1:6" x14ac:dyDescent="0.25">
      <c r="A55">
        <v>20050</v>
      </c>
      <c r="B55">
        <v>0</v>
      </c>
      <c r="C55" s="5">
        <v>133.80054666666601</v>
      </c>
      <c r="D55">
        <v>12</v>
      </c>
      <c r="E55" s="3">
        <f t="shared" si="0"/>
        <v>8.7662239900044327E-3</v>
      </c>
      <c r="F55" t="str">
        <f t="shared" si="1"/>
        <v>Sí</v>
      </c>
    </row>
    <row r="56" spans="1:6" x14ac:dyDescent="0.25">
      <c r="A56">
        <v>20063</v>
      </c>
      <c r="B56">
        <v>0</v>
      </c>
      <c r="C56" s="5">
        <v>128.87377000000001</v>
      </c>
      <c r="D56">
        <v>12</v>
      </c>
      <c r="E56" s="3">
        <f t="shared" si="0"/>
        <v>8.4434358633137564E-3</v>
      </c>
      <c r="F56" t="str">
        <f t="shared" si="1"/>
        <v>Sí</v>
      </c>
    </row>
    <row r="57" spans="1:6" x14ac:dyDescent="0.25">
      <c r="A57">
        <v>20116</v>
      </c>
      <c r="B57">
        <v>2</v>
      </c>
      <c r="C57" s="5">
        <v>127.167623333333</v>
      </c>
      <c r="D57">
        <v>12</v>
      </c>
      <c r="E57" s="3">
        <f t="shared" si="0"/>
        <v>5.1409825289153305E-2</v>
      </c>
      <c r="F57" t="str">
        <f t="shared" si="1"/>
        <v/>
      </c>
    </row>
    <row r="58" spans="1:6" x14ac:dyDescent="0.25">
      <c r="A58">
        <v>20057</v>
      </c>
      <c r="B58">
        <v>0</v>
      </c>
      <c r="C58" s="5">
        <v>125.308496666666</v>
      </c>
      <c r="D58">
        <v>12</v>
      </c>
      <c r="E58" s="3">
        <f t="shared" si="0"/>
        <v>8.2098494886372921E-3</v>
      </c>
      <c r="F58" t="str">
        <f t="shared" si="1"/>
        <v>Sí</v>
      </c>
    </row>
    <row r="59" spans="1:6" x14ac:dyDescent="0.25">
      <c r="A59">
        <v>20058</v>
      </c>
      <c r="B59">
        <v>0</v>
      </c>
      <c r="C59" s="5">
        <v>122.943</v>
      </c>
      <c r="D59">
        <v>12</v>
      </c>
      <c r="E59" s="3">
        <f t="shared" si="0"/>
        <v>8.054869003548069E-3</v>
      </c>
      <c r="F59" t="str">
        <f t="shared" si="1"/>
        <v>Sí</v>
      </c>
    </row>
    <row r="60" spans="1:6" x14ac:dyDescent="0.25">
      <c r="A60">
        <v>20130</v>
      </c>
      <c r="B60">
        <v>2</v>
      </c>
      <c r="C60" s="5">
        <v>118.469563333333</v>
      </c>
      <c r="D60">
        <v>8</v>
      </c>
      <c r="E60" s="3">
        <f t="shared" si="0"/>
        <v>4.7893476290615702E-2</v>
      </c>
      <c r="F60" t="str">
        <f t="shared" si="1"/>
        <v/>
      </c>
    </row>
    <row r="61" spans="1:6" x14ac:dyDescent="0.25">
      <c r="A61">
        <v>20073</v>
      </c>
      <c r="B61">
        <v>3</v>
      </c>
      <c r="C61" s="5">
        <v>117.873856666666</v>
      </c>
      <c r="D61">
        <v>12</v>
      </c>
      <c r="E61" s="3">
        <f t="shared" si="0"/>
        <v>3.5592015252977706E-2</v>
      </c>
      <c r="F61" t="str">
        <f t="shared" si="1"/>
        <v>Sí</v>
      </c>
    </row>
    <row r="62" spans="1:6" x14ac:dyDescent="0.25">
      <c r="A62">
        <v>20052</v>
      </c>
      <c r="B62">
        <v>0</v>
      </c>
      <c r="C62" s="5">
        <v>114.652546666666</v>
      </c>
      <c r="D62">
        <v>12</v>
      </c>
      <c r="E62" s="3">
        <f t="shared" si="0"/>
        <v>7.5117025314428354E-3</v>
      </c>
      <c r="F62" t="str">
        <f t="shared" si="1"/>
        <v>Sí</v>
      </c>
    </row>
    <row r="63" spans="1:6" x14ac:dyDescent="0.25">
      <c r="A63">
        <v>20065</v>
      </c>
      <c r="B63">
        <v>0</v>
      </c>
      <c r="C63" s="5">
        <v>114.580829999999</v>
      </c>
      <c r="D63">
        <v>12</v>
      </c>
      <c r="E63" s="3">
        <f t="shared" si="0"/>
        <v>7.5070038633171686E-3</v>
      </c>
      <c r="F63" t="str">
        <f t="shared" si="1"/>
        <v>Sí</v>
      </c>
    </row>
    <row r="64" spans="1:6" x14ac:dyDescent="0.25">
      <c r="A64">
        <v>20069</v>
      </c>
      <c r="B64">
        <v>7</v>
      </c>
      <c r="C64" s="5">
        <v>113.98740333333301</v>
      </c>
      <c r="D64">
        <v>12</v>
      </c>
      <c r="E64" s="3">
        <f t="shared" si="0"/>
        <v>1.7206452398679944E-2</v>
      </c>
      <c r="F64" t="str">
        <f t="shared" si="1"/>
        <v>Sí</v>
      </c>
    </row>
    <row r="65" spans="1:6" x14ac:dyDescent="0.25">
      <c r="A65">
        <v>20135</v>
      </c>
      <c r="B65">
        <v>7</v>
      </c>
      <c r="C65" s="5">
        <v>110.523646666666</v>
      </c>
      <c r="D65">
        <v>9</v>
      </c>
      <c r="E65" s="3">
        <f t="shared" si="0"/>
        <v>1.6683596693025073E-2</v>
      </c>
      <c r="F65" t="str">
        <f t="shared" si="1"/>
        <v/>
      </c>
    </row>
    <row r="66" spans="1:6" x14ac:dyDescent="0.25">
      <c r="A66">
        <v>20121</v>
      </c>
      <c r="B66">
        <v>2</v>
      </c>
      <c r="C66" s="5">
        <v>108.701023333333</v>
      </c>
      <c r="D66">
        <v>12</v>
      </c>
      <c r="E66" s="3">
        <f t="shared" si="0"/>
        <v>4.3944366276868436E-2</v>
      </c>
      <c r="F66" t="str">
        <f t="shared" si="1"/>
        <v/>
      </c>
    </row>
    <row r="67" spans="1:6" x14ac:dyDescent="0.25">
      <c r="A67">
        <v>20070</v>
      </c>
      <c r="B67">
        <v>0</v>
      </c>
      <c r="C67" s="5">
        <v>108.15643</v>
      </c>
      <c r="D67">
        <v>12</v>
      </c>
      <c r="E67" s="3">
        <f t="shared" ref="E67:E130" si="5">$C67/SUMIF($B$2:$B$781,B67,$C$2:$C$781)</f>
        <v>7.086095796762862E-3</v>
      </c>
      <c r="F67" t="str">
        <f t="shared" ref="F67:F130" si="6">IF(AND(OR(B67=0,B67=3,B67=7),D67=12),"Sí","")</f>
        <v>Sí</v>
      </c>
    </row>
    <row r="68" spans="1:6" x14ac:dyDescent="0.25">
      <c r="A68">
        <v>20150</v>
      </c>
      <c r="B68">
        <v>7</v>
      </c>
      <c r="C68" s="5">
        <v>107.41561</v>
      </c>
      <c r="D68">
        <v>9</v>
      </c>
      <c r="E68" s="3">
        <f t="shared" si="5"/>
        <v>1.6214437089468233E-2</v>
      </c>
      <c r="F68" t="str">
        <f t="shared" si="6"/>
        <v/>
      </c>
    </row>
    <row r="69" spans="1:6" x14ac:dyDescent="0.25">
      <c r="A69">
        <v>20210</v>
      </c>
      <c r="B69" t="s">
        <v>21</v>
      </c>
      <c r="C69" s="5">
        <v>106.97632</v>
      </c>
      <c r="D69">
        <v>0</v>
      </c>
      <c r="E69" s="3">
        <f t="shared" si="5"/>
        <v>4.6443651564741777E-2</v>
      </c>
      <c r="F69" t="str">
        <f t="shared" si="6"/>
        <v/>
      </c>
    </row>
    <row r="70" spans="1:6" x14ac:dyDescent="0.25">
      <c r="A70">
        <v>20056</v>
      </c>
      <c r="B70">
        <v>7</v>
      </c>
      <c r="C70" s="5">
        <v>106.61924</v>
      </c>
      <c r="D70">
        <v>12</v>
      </c>
      <c r="E70" s="3">
        <f t="shared" si="5"/>
        <v>1.6094224661638238E-2</v>
      </c>
      <c r="F70" t="str">
        <f t="shared" si="6"/>
        <v>Sí</v>
      </c>
    </row>
    <row r="71" spans="1:6" x14ac:dyDescent="0.25">
      <c r="A71">
        <v>20094</v>
      </c>
      <c r="B71">
        <v>0</v>
      </c>
      <c r="C71" s="5">
        <v>104.600076666666</v>
      </c>
      <c r="D71">
        <v>12</v>
      </c>
      <c r="E71" s="3">
        <f t="shared" si="5"/>
        <v>6.8530938346313304E-3</v>
      </c>
      <c r="F71" t="str">
        <f t="shared" si="6"/>
        <v>Sí</v>
      </c>
    </row>
    <row r="72" spans="1:6" x14ac:dyDescent="0.25">
      <c r="A72">
        <v>20174</v>
      </c>
      <c r="B72" t="s">
        <v>21</v>
      </c>
      <c r="C72" s="5">
        <v>102.493789999999</v>
      </c>
      <c r="D72">
        <v>0</v>
      </c>
      <c r="E72" s="3">
        <f t="shared" si="5"/>
        <v>4.4497566099766461E-2</v>
      </c>
      <c r="F72" t="str">
        <f t="shared" si="6"/>
        <v/>
      </c>
    </row>
    <row r="73" spans="1:6" x14ac:dyDescent="0.25">
      <c r="A73">
        <v>20081</v>
      </c>
      <c r="B73">
        <v>0</v>
      </c>
      <c r="C73" s="5">
        <v>100.9554</v>
      </c>
      <c r="D73">
        <v>12</v>
      </c>
      <c r="E73" s="3">
        <f t="shared" si="5"/>
        <v>6.6143051837094973E-3</v>
      </c>
      <c r="F73" t="str">
        <f t="shared" si="6"/>
        <v>Sí</v>
      </c>
    </row>
    <row r="74" spans="1:6" x14ac:dyDescent="0.25">
      <c r="A74">
        <v>20062</v>
      </c>
      <c r="B74">
        <v>0</v>
      </c>
      <c r="C74" s="5">
        <v>100.866996666666</v>
      </c>
      <c r="D74">
        <v>12</v>
      </c>
      <c r="E74" s="3">
        <f t="shared" si="5"/>
        <v>6.6085132535509492E-3</v>
      </c>
      <c r="F74" t="str">
        <f t="shared" si="6"/>
        <v>Sí</v>
      </c>
    </row>
    <row r="75" spans="1:6" x14ac:dyDescent="0.25">
      <c r="A75">
        <v>20068</v>
      </c>
      <c r="B75">
        <v>0</v>
      </c>
      <c r="C75" s="5">
        <v>100.42795</v>
      </c>
      <c r="D75">
        <v>12</v>
      </c>
      <c r="E75" s="3">
        <f t="shared" si="5"/>
        <v>6.5797481885497772E-3</v>
      </c>
      <c r="F75" t="str">
        <f t="shared" si="6"/>
        <v>Sí</v>
      </c>
    </row>
    <row r="76" spans="1:6" x14ac:dyDescent="0.25">
      <c r="A76">
        <v>20071</v>
      </c>
      <c r="B76">
        <v>0</v>
      </c>
      <c r="C76" s="5">
        <v>100.20783</v>
      </c>
      <c r="D76">
        <v>12</v>
      </c>
      <c r="E76" s="3">
        <f t="shared" si="5"/>
        <v>6.5653265641786385E-3</v>
      </c>
      <c r="F76" t="str">
        <f t="shared" si="6"/>
        <v>Sí</v>
      </c>
    </row>
    <row r="77" spans="1:6" x14ac:dyDescent="0.25">
      <c r="A77">
        <v>20143</v>
      </c>
      <c r="B77">
        <v>7</v>
      </c>
      <c r="C77" s="5">
        <v>99.805833333333297</v>
      </c>
      <c r="D77">
        <v>8</v>
      </c>
      <c r="E77" s="3">
        <f t="shared" si="5"/>
        <v>1.5065737705583799E-2</v>
      </c>
      <c r="F77" t="str">
        <f t="shared" si="6"/>
        <v/>
      </c>
    </row>
    <row r="78" spans="1:6" x14ac:dyDescent="0.25">
      <c r="A78">
        <v>20126</v>
      </c>
      <c r="B78">
        <v>7</v>
      </c>
      <c r="C78" s="5">
        <v>99.731973333333301</v>
      </c>
      <c r="D78">
        <v>9</v>
      </c>
      <c r="E78" s="3">
        <f t="shared" si="5"/>
        <v>1.5054588503680759E-2</v>
      </c>
      <c r="F78" t="str">
        <f t="shared" si="6"/>
        <v/>
      </c>
    </row>
    <row r="79" spans="1:6" x14ac:dyDescent="0.25">
      <c r="A79">
        <v>20066</v>
      </c>
      <c r="B79">
        <v>0</v>
      </c>
      <c r="C79" s="5">
        <v>99.182696666666601</v>
      </c>
      <c r="D79">
        <v>12</v>
      </c>
      <c r="E79" s="3">
        <f t="shared" si="5"/>
        <v>6.4981627995790185E-3</v>
      </c>
      <c r="F79" t="str">
        <f t="shared" si="6"/>
        <v>Sí</v>
      </c>
    </row>
    <row r="80" spans="1:6" x14ac:dyDescent="0.25">
      <c r="A80">
        <v>20055</v>
      </c>
      <c r="B80">
        <v>0</v>
      </c>
      <c r="C80" s="5">
        <v>98.7124799999999</v>
      </c>
      <c r="D80">
        <v>12</v>
      </c>
      <c r="E80" s="3">
        <f t="shared" si="5"/>
        <v>6.4673555665256087E-3</v>
      </c>
      <c r="F80" t="str">
        <f t="shared" si="6"/>
        <v>Sí</v>
      </c>
    </row>
    <row r="81" spans="1:6" x14ac:dyDescent="0.25">
      <c r="A81">
        <v>20076</v>
      </c>
      <c r="B81">
        <v>7</v>
      </c>
      <c r="C81" s="5">
        <v>98.060289999999995</v>
      </c>
      <c r="D81">
        <v>12</v>
      </c>
      <c r="E81" s="3">
        <f t="shared" si="5"/>
        <v>1.4802247114548906E-2</v>
      </c>
      <c r="F81" t="str">
        <f t="shared" si="6"/>
        <v>Sí</v>
      </c>
    </row>
    <row r="82" spans="1:6" x14ac:dyDescent="0.25">
      <c r="A82">
        <v>20037</v>
      </c>
      <c r="B82">
        <v>0</v>
      </c>
      <c r="C82" s="5">
        <v>95.861346666666606</v>
      </c>
      <c r="D82">
        <v>12</v>
      </c>
      <c r="E82" s="3">
        <f t="shared" si="5"/>
        <v>6.2805575746785816E-3</v>
      </c>
      <c r="F82" t="str">
        <f t="shared" si="6"/>
        <v>Sí</v>
      </c>
    </row>
    <row r="83" spans="1:6" x14ac:dyDescent="0.25">
      <c r="A83">
        <v>20112</v>
      </c>
      <c r="B83">
        <v>7</v>
      </c>
      <c r="C83" s="5">
        <v>95.759546666666594</v>
      </c>
      <c r="D83">
        <v>12</v>
      </c>
      <c r="E83" s="3">
        <f t="shared" si="5"/>
        <v>1.4454948821150509E-2</v>
      </c>
      <c r="F83" t="str">
        <f t="shared" si="6"/>
        <v>Sí</v>
      </c>
    </row>
    <row r="84" spans="1:6" x14ac:dyDescent="0.25">
      <c r="A84">
        <v>20067</v>
      </c>
      <c r="B84">
        <v>0</v>
      </c>
      <c r="C84" s="5">
        <v>95.694146666666597</v>
      </c>
      <c r="D84">
        <v>12</v>
      </c>
      <c r="E84" s="3">
        <f t="shared" si="5"/>
        <v>6.2696031153161675E-3</v>
      </c>
      <c r="F84" t="str">
        <f t="shared" si="6"/>
        <v>Sí</v>
      </c>
    </row>
    <row r="85" spans="1:6" x14ac:dyDescent="0.25">
      <c r="A85">
        <v>20093</v>
      </c>
      <c r="B85">
        <v>0</v>
      </c>
      <c r="C85" s="5">
        <v>95.536349999999999</v>
      </c>
      <c r="D85">
        <v>12</v>
      </c>
      <c r="E85" s="3">
        <f t="shared" si="5"/>
        <v>6.2592647350977245E-3</v>
      </c>
      <c r="F85" t="str">
        <f t="shared" si="6"/>
        <v>Sí</v>
      </c>
    </row>
    <row r="86" spans="1:6" x14ac:dyDescent="0.25">
      <c r="A86">
        <v>20030</v>
      </c>
      <c r="B86">
        <v>0</v>
      </c>
      <c r="C86" s="5">
        <v>95.155666666666605</v>
      </c>
      <c r="D86">
        <v>12</v>
      </c>
      <c r="E86" s="3">
        <f t="shared" si="5"/>
        <v>6.2343234665274564E-3</v>
      </c>
      <c r="F86" t="str">
        <f t="shared" si="6"/>
        <v>Sí</v>
      </c>
    </row>
    <row r="87" spans="1:6" x14ac:dyDescent="0.25">
      <c r="A87">
        <v>20080</v>
      </c>
      <c r="B87">
        <v>0</v>
      </c>
      <c r="C87" s="5">
        <v>92.091246666666606</v>
      </c>
      <c r="D87">
        <v>12</v>
      </c>
      <c r="E87" s="3">
        <f t="shared" si="5"/>
        <v>6.033551550502528E-3</v>
      </c>
      <c r="F87" t="str">
        <f t="shared" si="6"/>
        <v>Sí</v>
      </c>
    </row>
    <row r="88" spans="1:6" x14ac:dyDescent="0.25">
      <c r="A88">
        <v>20091</v>
      </c>
      <c r="B88">
        <v>0</v>
      </c>
      <c r="C88" s="5">
        <v>91.349483333333296</v>
      </c>
      <c r="D88">
        <v>12</v>
      </c>
      <c r="E88" s="3">
        <f t="shared" si="5"/>
        <v>5.9849533669407559E-3</v>
      </c>
      <c r="F88" t="str">
        <f t="shared" si="6"/>
        <v>Sí</v>
      </c>
    </row>
    <row r="89" spans="1:6" x14ac:dyDescent="0.25">
      <c r="A89">
        <v>20107</v>
      </c>
      <c r="B89">
        <v>7</v>
      </c>
      <c r="C89" s="5">
        <v>90.373106666666601</v>
      </c>
      <c r="D89">
        <v>12</v>
      </c>
      <c r="E89" s="3">
        <f t="shared" si="5"/>
        <v>1.3641863157752097E-2</v>
      </c>
      <c r="F89" t="str">
        <f t="shared" si="6"/>
        <v>Sí</v>
      </c>
    </row>
    <row r="90" spans="1:6" x14ac:dyDescent="0.25">
      <c r="A90">
        <v>20074</v>
      </c>
      <c r="B90">
        <v>0</v>
      </c>
      <c r="C90" s="5">
        <v>90.003083333333294</v>
      </c>
      <c r="D90">
        <v>12</v>
      </c>
      <c r="E90" s="3">
        <f t="shared" si="5"/>
        <v>5.8967411415486864E-3</v>
      </c>
      <c r="F90" t="str">
        <f t="shared" si="6"/>
        <v>Sí</v>
      </c>
    </row>
    <row r="91" spans="1:6" x14ac:dyDescent="0.25">
      <c r="A91">
        <v>20101</v>
      </c>
      <c r="B91">
        <v>0</v>
      </c>
      <c r="C91" s="5">
        <v>89.503049999999902</v>
      </c>
      <c r="D91">
        <v>12</v>
      </c>
      <c r="E91" s="3">
        <f t="shared" si="5"/>
        <v>5.8639804069203797E-3</v>
      </c>
      <c r="F91" t="str">
        <f t="shared" si="6"/>
        <v>Sí</v>
      </c>
    </row>
    <row r="92" spans="1:6" x14ac:dyDescent="0.25">
      <c r="A92">
        <v>20095</v>
      </c>
      <c r="B92">
        <v>0</v>
      </c>
      <c r="C92" s="5">
        <v>87.485189999999903</v>
      </c>
      <c r="D92">
        <v>12</v>
      </c>
      <c r="E92" s="3">
        <f t="shared" si="5"/>
        <v>5.7317760685887996E-3</v>
      </c>
      <c r="F92" t="str">
        <f t="shared" si="6"/>
        <v>Sí</v>
      </c>
    </row>
    <row r="93" spans="1:6" x14ac:dyDescent="0.25">
      <c r="A93">
        <v>20213</v>
      </c>
      <c r="B93" t="s">
        <v>21</v>
      </c>
      <c r="C93" s="5">
        <v>87.258369999999999</v>
      </c>
      <c r="D93">
        <v>0</v>
      </c>
      <c r="E93" s="3">
        <f t="shared" si="5"/>
        <v>3.7883125278447762E-2</v>
      </c>
      <c r="F93" t="str">
        <f t="shared" si="6"/>
        <v/>
      </c>
    </row>
    <row r="94" spans="1:6" x14ac:dyDescent="0.25">
      <c r="A94">
        <v>20170</v>
      </c>
      <c r="B94">
        <v>2</v>
      </c>
      <c r="C94" s="5">
        <v>85.626719999999906</v>
      </c>
      <c r="D94">
        <v>8</v>
      </c>
      <c r="E94" s="3">
        <f t="shared" si="5"/>
        <v>3.4616159364278878E-2</v>
      </c>
      <c r="F94" t="str">
        <f t="shared" si="6"/>
        <v/>
      </c>
    </row>
    <row r="95" spans="1:6" x14ac:dyDescent="0.25">
      <c r="A95">
        <v>20087</v>
      </c>
      <c r="B95">
        <v>0</v>
      </c>
      <c r="C95" s="5">
        <v>83.850666666666598</v>
      </c>
      <c r="D95">
        <v>12</v>
      </c>
      <c r="E95" s="3">
        <f t="shared" si="5"/>
        <v>5.4936526346369792E-3</v>
      </c>
      <c r="F95" t="str">
        <f t="shared" si="6"/>
        <v>Sí</v>
      </c>
    </row>
    <row r="96" spans="1:6" x14ac:dyDescent="0.25">
      <c r="A96">
        <v>20159</v>
      </c>
      <c r="B96">
        <v>2</v>
      </c>
      <c r="C96" s="5">
        <v>82.258390000000006</v>
      </c>
      <c r="D96">
        <v>8</v>
      </c>
      <c r="E96" s="3">
        <f t="shared" si="5"/>
        <v>3.3254450681855008E-2</v>
      </c>
      <c r="F96" t="str">
        <f t="shared" si="6"/>
        <v/>
      </c>
    </row>
    <row r="97" spans="1:6" x14ac:dyDescent="0.25">
      <c r="A97">
        <v>20111</v>
      </c>
      <c r="B97">
        <v>1</v>
      </c>
      <c r="C97" s="5">
        <v>81.662806666666597</v>
      </c>
      <c r="D97">
        <v>12</v>
      </c>
      <c r="E97" s="3">
        <f t="shared" si="5"/>
        <v>0.18614620200413129</v>
      </c>
      <c r="F97" t="str">
        <f t="shared" si="6"/>
        <v/>
      </c>
    </row>
    <row r="98" spans="1:6" x14ac:dyDescent="0.25">
      <c r="A98">
        <v>20120</v>
      </c>
      <c r="B98">
        <v>5</v>
      </c>
      <c r="C98" s="5">
        <v>79.741110000000006</v>
      </c>
      <c r="D98">
        <v>12</v>
      </c>
      <c r="E98" s="3">
        <f t="shared" si="5"/>
        <v>0.34782491050052566</v>
      </c>
      <c r="F98" t="str">
        <f t="shared" si="6"/>
        <v/>
      </c>
    </row>
    <row r="99" spans="1:6" x14ac:dyDescent="0.25">
      <c r="A99">
        <v>20106</v>
      </c>
      <c r="B99">
        <v>0</v>
      </c>
      <c r="C99" s="5">
        <v>78.042509999999993</v>
      </c>
      <c r="D99">
        <v>12</v>
      </c>
      <c r="E99" s="3">
        <f t="shared" si="5"/>
        <v>5.1131190450703998E-3</v>
      </c>
      <c r="F99" t="str">
        <f t="shared" si="6"/>
        <v>Sí</v>
      </c>
    </row>
    <row r="100" spans="1:6" x14ac:dyDescent="0.25">
      <c r="A100">
        <v>20145</v>
      </c>
      <c r="B100">
        <v>0</v>
      </c>
      <c r="C100" s="5">
        <v>77.097086666666598</v>
      </c>
      <c r="D100">
        <v>12</v>
      </c>
      <c r="E100" s="3">
        <f t="shared" si="5"/>
        <v>5.0511776486273467E-3</v>
      </c>
      <c r="F100" t="str">
        <f t="shared" si="6"/>
        <v>Sí</v>
      </c>
    </row>
    <row r="101" spans="1:6" x14ac:dyDescent="0.25">
      <c r="A101">
        <v>20119</v>
      </c>
      <c r="B101">
        <v>7</v>
      </c>
      <c r="C101" s="5">
        <v>76.561813333333305</v>
      </c>
      <c r="D101">
        <v>12</v>
      </c>
      <c r="E101" s="3">
        <f t="shared" si="5"/>
        <v>1.1557041902465972E-2</v>
      </c>
      <c r="F101" t="str">
        <f t="shared" si="6"/>
        <v>Sí</v>
      </c>
    </row>
    <row r="102" spans="1:6" x14ac:dyDescent="0.25">
      <c r="A102">
        <v>20108</v>
      </c>
      <c r="B102">
        <v>0</v>
      </c>
      <c r="C102" s="5">
        <v>76.238336666666598</v>
      </c>
      <c r="D102">
        <v>12</v>
      </c>
      <c r="E102" s="3">
        <f t="shared" si="5"/>
        <v>4.9949148377572946E-3</v>
      </c>
      <c r="F102" t="str">
        <f t="shared" si="6"/>
        <v>Sí</v>
      </c>
    </row>
    <row r="103" spans="1:6" x14ac:dyDescent="0.25">
      <c r="A103">
        <v>20077</v>
      </c>
      <c r="B103">
        <v>7</v>
      </c>
      <c r="C103" s="5">
        <v>75.815373333333298</v>
      </c>
      <c r="D103">
        <v>12</v>
      </c>
      <c r="E103" s="3">
        <f t="shared" si="5"/>
        <v>1.1444366431730734E-2</v>
      </c>
      <c r="F103" t="str">
        <f t="shared" si="6"/>
        <v>Sí</v>
      </c>
    </row>
    <row r="104" spans="1:6" x14ac:dyDescent="0.25">
      <c r="A104">
        <v>20122</v>
      </c>
      <c r="B104">
        <v>0</v>
      </c>
      <c r="C104" s="5">
        <v>75.720150000000004</v>
      </c>
      <c r="D104">
        <v>12</v>
      </c>
      <c r="E104" s="3">
        <f t="shared" si="5"/>
        <v>4.9609647493473429E-3</v>
      </c>
      <c r="F104" t="str">
        <f t="shared" si="6"/>
        <v>Sí</v>
      </c>
    </row>
    <row r="105" spans="1:6" x14ac:dyDescent="0.25">
      <c r="A105">
        <v>20103</v>
      </c>
      <c r="B105">
        <v>0</v>
      </c>
      <c r="C105" s="5">
        <v>74.899249999999995</v>
      </c>
      <c r="D105">
        <v>12</v>
      </c>
      <c r="E105" s="3">
        <f t="shared" si="5"/>
        <v>4.9071817607671663E-3</v>
      </c>
      <c r="F105" t="str">
        <f t="shared" si="6"/>
        <v>Sí</v>
      </c>
    </row>
    <row r="106" spans="1:6" x14ac:dyDescent="0.25">
      <c r="A106">
        <v>20158</v>
      </c>
      <c r="B106">
        <v>7</v>
      </c>
      <c r="C106" s="5">
        <v>72.45966</v>
      </c>
      <c r="D106">
        <v>12</v>
      </c>
      <c r="E106" s="3">
        <f t="shared" si="5"/>
        <v>1.093781991829919E-2</v>
      </c>
      <c r="F106" t="str">
        <f t="shared" si="6"/>
        <v>Sí</v>
      </c>
    </row>
    <row r="107" spans="1:6" x14ac:dyDescent="0.25">
      <c r="A107">
        <v>20153</v>
      </c>
      <c r="B107">
        <v>0</v>
      </c>
      <c r="C107" s="5">
        <v>70.222570000000005</v>
      </c>
      <c r="D107">
        <v>12</v>
      </c>
      <c r="E107" s="3">
        <f t="shared" si="5"/>
        <v>4.6007792427587143E-3</v>
      </c>
      <c r="F107" t="str">
        <f t="shared" si="6"/>
        <v>Sí</v>
      </c>
    </row>
    <row r="108" spans="1:6" x14ac:dyDescent="0.25">
      <c r="A108">
        <v>20157</v>
      </c>
      <c r="B108">
        <v>0</v>
      </c>
      <c r="C108" s="5">
        <v>70.173163333333306</v>
      </c>
      <c r="D108">
        <v>12</v>
      </c>
      <c r="E108" s="3">
        <f t="shared" si="5"/>
        <v>4.5975422611664136E-3</v>
      </c>
      <c r="F108" t="str">
        <f t="shared" si="6"/>
        <v>Sí</v>
      </c>
    </row>
    <row r="109" spans="1:6" x14ac:dyDescent="0.25">
      <c r="A109">
        <v>20123</v>
      </c>
      <c r="B109">
        <v>0</v>
      </c>
      <c r="C109" s="5">
        <v>69.650490000000005</v>
      </c>
      <c r="D109">
        <v>12</v>
      </c>
      <c r="E109" s="3">
        <f t="shared" si="5"/>
        <v>4.5632982193612882E-3</v>
      </c>
      <c r="F109" t="str">
        <f t="shared" si="6"/>
        <v>Sí</v>
      </c>
    </row>
    <row r="110" spans="1:6" x14ac:dyDescent="0.25">
      <c r="A110">
        <v>20134</v>
      </c>
      <c r="B110">
        <v>0</v>
      </c>
      <c r="C110" s="5">
        <v>69.235529999999997</v>
      </c>
      <c r="D110">
        <v>12</v>
      </c>
      <c r="E110" s="3">
        <f t="shared" si="5"/>
        <v>4.5361112429436606E-3</v>
      </c>
      <c r="F110" t="str">
        <f t="shared" si="6"/>
        <v>Sí</v>
      </c>
    </row>
    <row r="111" spans="1:6" x14ac:dyDescent="0.25">
      <c r="A111">
        <v>20125</v>
      </c>
      <c r="B111">
        <v>0</v>
      </c>
      <c r="C111" s="5">
        <v>69.014399999999995</v>
      </c>
      <c r="D111">
        <v>12</v>
      </c>
      <c r="E111" s="3">
        <f t="shared" si="5"/>
        <v>4.5216234463000566E-3</v>
      </c>
      <c r="F111" t="str">
        <f t="shared" si="6"/>
        <v>Sí</v>
      </c>
    </row>
    <row r="112" spans="1:6" x14ac:dyDescent="0.25">
      <c r="A112">
        <v>20118</v>
      </c>
      <c r="B112">
        <v>3</v>
      </c>
      <c r="C112" s="5">
        <v>67.419449999999998</v>
      </c>
      <c r="D112">
        <v>12</v>
      </c>
      <c r="E112" s="3">
        <f t="shared" si="5"/>
        <v>2.0357305348319515E-2</v>
      </c>
      <c r="F112" t="str">
        <f t="shared" si="6"/>
        <v>Sí</v>
      </c>
    </row>
    <row r="113" spans="1:6" x14ac:dyDescent="0.25">
      <c r="A113">
        <v>20257</v>
      </c>
      <c r="B113" t="s">
        <v>21</v>
      </c>
      <c r="C113" s="5">
        <v>66.993973333333301</v>
      </c>
      <c r="D113">
        <v>0</v>
      </c>
      <c r="E113" s="3">
        <f t="shared" si="5"/>
        <v>2.908535977336792E-2</v>
      </c>
      <c r="F113" t="str">
        <f t="shared" si="6"/>
        <v/>
      </c>
    </row>
    <row r="114" spans="1:6" x14ac:dyDescent="0.25">
      <c r="A114">
        <v>20132</v>
      </c>
      <c r="B114">
        <v>7</v>
      </c>
      <c r="C114" s="5">
        <v>66.828490000000002</v>
      </c>
      <c r="D114">
        <v>12</v>
      </c>
      <c r="E114" s="3">
        <f t="shared" si="5"/>
        <v>1.0087792145751971E-2</v>
      </c>
      <c r="F114" t="str">
        <f t="shared" si="6"/>
        <v>Sí</v>
      </c>
    </row>
    <row r="115" spans="1:6" x14ac:dyDescent="0.25">
      <c r="A115">
        <v>20155</v>
      </c>
      <c r="B115">
        <v>0</v>
      </c>
      <c r="C115" s="5">
        <v>66.592303333333305</v>
      </c>
      <c r="D115">
        <v>12</v>
      </c>
      <c r="E115" s="3">
        <f t="shared" si="5"/>
        <v>4.3629346932687278E-3</v>
      </c>
      <c r="F115" t="str">
        <f t="shared" si="6"/>
        <v>Sí</v>
      </c>
    </row>
    <row r="116" spans="1:6" x14ac:dyDescent="0.25">
      <c r="A116">
        <v>20164</v>
      </c>
      <c r="B116">
        <v>7</v>
      </c>
      <c r="C116" s="5">
        <v>66.499766666666602</v>
      </c>
      <c r="D116">
        <v>12</v>
      </c>
      <c r="E116" s="3">
        <f t="shared" si="5"/>
        <v>1.0038171203244874E-2</v>
      </c>
      <c r="F116" t="str">
        <f t="shared" si="6"/>
        <v>Sí</v>
      </c>
    </row>
    <row r="117" spans="1:6" x14ac:dyDescent="0.25">
      <c r="A117">
        <v>20140</v>
      </c>
      <c r="B117">
        <v>0</v>
      </c>
      <c r="C117" s="5">
        <v>66.388140000000007</v>
      </c>
      <c r="D117">
        <v>12</v>
      </c>
      <c r="E117" s="3">
        <f t="shared" si="5"/>
        <v>4.3495585034463921E-3</v>
      </c>
      <c r="F117" t="str">
        <f t="shared" si="6"/>
        <v>Sí</v>
      </c>
    </row>
    <row r="118" spans="1:6" x14ac:dyDescent="0.25">
      <c r="A118">
        <v>20099</v>
      </c>
      <c r="B118">
        <v>0</v>
      </c>
      <c r="C118" s="5">
        <v>66.377049999999997</v>
      </c>
      <c r="D118">
        <v>12</v>
      </c>
      <c r="E118" s="3">
        <f t="shared" si="5"/>
        <v>4.348831918791313E-3</v>
      </c>
      <c r="F118" t="str">
        <f t="shared" si="6"/>
        <v>Sí</v>
      </c>
    </row>
    <row r="119" spans="1:6" x14ac:dyDescent="0.25">
      <c r="A119">
        <v>20082</v>
      </c>
      <c r="B119">
        <v>0</v>
      </c>
      <c r="C119" s="5">
        <v>65.254293333333294</v>
      </c>
      <c r="D119">
        <v>12</v>
      </c>
      <c r="E119" s="3">
        <f t="shared" si="5"/>
        <v>4.2752721563578226E-3</v>
      </c>
      <c r="F119" t="str">
        <f t="shared" si="6"/>
        <v>Sí</v>
      </c>
    </row>
    <row r="120" spans="1:6" x14ac:dyDescent="0.25">
      <c r="A120">
        <v>20092</v>
      </c>
      <c r="B120">
        <v>0</v>
      </c>
      <c r="C120" s="5">
        <v>64.791089999999997</v>
      </c>
      <c r="D120">
        <v>12</v>
      </c>
      <c r="E120" s="3">
        <f t="shared" si="5"/>
        <v>4.2449244165759193E-3</v>
      </c>
      <c r="F120" t="str">
        <f t="shared" si="6"/>
        <v>Sí</v>
      </c>
    </row>
    <row r="121" spans="1:6" x14ac:dyDescent="0.25">
      <c r="A121">
        <v>20072</v>
      </c>
      <c r="B121">
        <v>7</v>
      </c>
      <c r="C121" s="5">
        <v>64.056719999999999</v>
      </c>
      <c r="D121">
        <v>12</v>
      </c>
      <c r="E121" s="3">
        <f t="shared" si="5"/>
        <v>9.6693921544334337E-3</v>
      </c>
      <c r="F121" t="str">
        <f t="shared" si="6"/>
        <v>Sí</v>
      </c>
    </row>
    <row r="122" spans="1:6" x14ac:dyDescent="0.25">
      <c r="A122">
        <v>20236</v>
      </c>
      <c r="B122" t="s">
        <v>21</v>
      </c>
      <c r="C122" s="5">
        <v>62.780560000000001</v>
      </c>
      <c r="D122">
        <v>0</v>
      </c>
      <c r="E122" s="3">
        <f t="shared" si="5"/>
        <v>2.7256111012973386E-2</v>
      </c>
      <c r="F122" t="str">
        <f t="shared" si="6"/>
        <v/>
      </c>
    </row>
    <row r="123" spans="1:6" x14ac:dyDescent="0.25">
      <c r="A123">
        <v>20129</v>
      </c>
      <c r="B123">
        <v>0</v>
      </c>
      <c r="C123" s="5">
        <v>62.505839999999999</v>
      </c>
      <c r="D123">
        <v>12</v>
      </c>
      <c r="E123" s="3">
        <f t="shared" si="5"/>
        <v>4.0952014604876651E-3</v>
      </c>
      <c r="F123" t="str">
        <f t="shared" si="6"/>
        <v>Sí</v>
      </c>
    </row>
    <row r="124" spans="1:6" x14ac:dyDescent="0.25">
      <c r="A124">
        <v>20139</v>
      </c>
      <c r="B124">
        <v>0</v>
      </c>
      <c r="C124" s="5">
        <v>62.486969999999999</v>
      </c>
      <c r="D124">
        <v>12</v>
      </c>
      <c r="E124" s="3">
        <f t="shared" si="5"/>
        <v>4.0939651527833066E-3</v>
      </c>
      <c r="F124" t="str">
        <f t="shared" si="6"/>
        <v>Sí</v>
      </c>
    </row>
    <row r="125" spans="1:6" x14ac:dyDescent="0.25">
      <c r="A125">
        <v>20148</v>
      </c>
      <c r="B125">
        <v>0</v>
      </c>
      <c r="C125" s="5">
        <v>60.984609999999897</v>
      </c>
      <c r="D125">
        <v>12</v>
      </c>
      <c r="E125" s="3">
        <f t="shared" si="5"/>
        <v>3.9955348802491134E-3</v>
      </c>
      <c r="F125" t="str">
        <f t="shared" si="6"/>
        <v>Sí</v>
      </c>
    </row>
    <row r="126" spans="1:6" x14ac:dyDescent="0.25">
      <c r="A126">
        <v>20114</v>
      </c>
      <c r="B126">
        <v>0</v>
      </c>
      <c r="C126" s="5">
        <v>60.223799999999898</v>
      </c>
      <c r="D126">
        <v>12</v>
      </c>
      <c r="E126" s="3">
        <f t="shared" si="5"/>
        <v>3.9456888142950586E-3</v>
      </c>
      <c r="F126" t="str">
        <f t="shared" si="6"/>
        <v>Sí</v>
      </c>
    </row>
    <row r="127" spans="1:6" x14ac:dyDescent="0.25">
      <c r="A127">
        <v>20133</v>
      </c>
      <c r="B127">
        <v>0</v>
      </c>
      <c r="C127" s="5">
        <v>59.918039999999998</v>
      </c>
      <c r="D127">
        <v>12</v>
      </c>
      <c r="E127" s="3">
        <f t="shared" si="5"/>
        <v>3.9256563053557611E-3</v>
      </c>
      <c r="F127" t="str">
        <f t="shared" si="6"/>
        <v>Sí</v>
      </c>
    </row>
    <row r="128" spans="1:6" x14ac:dyDescent="0.25">
      <c r="A128">
        <v>20096</v>
      </c>
      <c r="B128">
        <v>0</v>
      </c>
      <c r="C128" s="5">
        <v>58.955689999999997</v>
      </c>
      <c r="D128">
        <v>12</v>
      </c>
      <c r="E128" s="3">
        <f t="shared" si="5"/>
        <v>3.8626059227755047E-3</v>
      </c>
      <c r="F128" t="str">
        <f t="shared" si="6"/>
        <v>Sí</v>
      </c>
    </row>
    <row r="129" spans="1:6" x14ac:dyDescent="0.25">
      <c r="A129">
        <v>20161</v>
      </c>
      <c r="B129">
        <v>0</v>
      </c>
      <c r="C129" s="5">
        <v>57.066063333333297</v>
      </c>
      <c r="D129">
        <v>12</v>
      </c>
      <c r="E129" s="3">
        <f t="shared" si="5"/>
        <v>3.7388030607531735E-3</v>
      </c>
      <c r="F129" t="str">
        <f t="shared" si="6"/>
        <v>Sí</v>
      </c>
    </row>
    <row r="130" spans="1:6" x14ac:dyDescent="0.25">
      <c r="A130">
        <v>20227</v>
      </c>
      <c r="B130">
        <v>2</v>
      </c>
      <c r="C130" s="5">
        <v>56.879913333333299</v>
      </c>
      <c r="D130">
        <v>12</v>
      </c>
      <c r="E130" s="3">
        <f t="shared" si="5"/>
        <v>2.2994739779510869E-2</v>
      </c>
      <c r="F130" t="str">
        <f t="shared" si="6"/>
        <v/>
      </c>
    </row>
    <row r="131" spans="1:6" x14ac:dyDescent="0.25">
      <c r="A131">
        <v>20162</v>
      </c>
      <c r="B131">
        <v>0</v>
      </c>
      <c r="C131" s="5">
        <v>56.823706666666602</v>
      </c>
      <c r="D131">
        <v>12</v>
      </c>
      <c r="E131" s="3">
        <f t="shared" ref="E131:E194" si="7">$C131/SUMIF($B$2:$B$781,B131,$C$2:$C$781)</f>
        <v>3.7229245544361258E-3</v>
      </c>
      <c r="F131" t="str">
        <f t="shared" ref="F131:F194" si="8">IF(AND(OR(B131=0,B131=3,B131=7),D131=12),"Sí","")</f>
        <v>Sí</v>
      </c>
    </row>
    <row r="132" spans="1:6" x14ac:dyDescent="0.25">
      <c r="A132">
        <v>20261</v>
      </c>
      <c r="B132" t="s">
        <v>21</v>
      </c>
      <c r="C132" s="5">
        <v>55.971089999999997</v>
      </c>
      <c r="D132">
        <v>0</v>
      </c>
      <c r="E132" s="3">
        <f t="shared" si="7"/>
        <v>2.4299787108575083E-2</v>
      </c>
      <c r="F132" t="str">
        <f t="shared" si="8"/>
        <v/>
      </c>
    </row>
    <row r="133" spans="1:6" x14ac:dyDescent="0.25">
      <c r="A133">
        <v>20086</v>
      </c>
      <c r="B133">
        <v>0</v>
      </c>
      <c r="C133" s="5">
        <v>54.668999999999997</v>
      </c>
      <c r="D133">
        <v>12</v>
      </c>
      <c r="E133" s="3">
        <f t="shared" si="7"/>
        <v>3.5817544191614763E-3</v>
      </c>
      <c r="F133" t="str">
        <f t="shared" si="8"/>
        <v>Sí</v>
      </c>
    </row>
    <row r="134" spans="1:6" x14ac:dyDescent="0.25">
      <c r="A134">
        <v>20144</v>
      </c>
      <c r="B134">
        <v>0</v>
      </c>
      <c r="C134" s="5">
        <v>54.610953333333299</v>
      </c>
      <c r="D134">
        <v>12</v>
      </c>
      <c r="E134" s="3">
        <f t="shared" si="7"/>
        <v>3.577951369812649E-3</v>
      </c>
      <c r="F134" t="str">
        <f t="shared" si="8"/>
        <v>Sí</v>
      </c>
    </row>
    <row r="135" spans="1:6" x14ac:dyDescent="0.25">
      <c r="A135">
        <v>20097</v>
      </c>
      <c r="B135">
        <v>0</v>
      </c>
      <c r="C135" s="5">
        <v>53.213563333333298</v>
      </c>
      <c r="D135">
        <v>12</v>
      </c>
      <c r="E135" s="3">
        <f t="shared" si="7"/>
        <v>3.4863984274176524E-3</v>
      </c>
      <c r="F135" t="str">
        <f t="shared" si="8"/>
        <v>Sí</v>
      </c>
    </row>
    <row r="136" spans="1:6" x14ac:dyDescent="0.25">
      <c r="A136">
        <v>20203</v>
      </c>
      <c r="B136">
        <v>7</v>
      </c>
      <c r="C136" s="5">
        <v>52.916499999999999</v>
      </c>
      <c r="D136">
        <v>12</v>
      </c>
      <c r="E136" s="3">
        <f t="shared" si="7"/>
        <v>7.987770681047621E-3</v>
      </c>
      <c r="F136" t="str">
        <f t="shared" si="8"/>
        <v>Sí</v>
      </c>
    </row>
    <row r="137" spans="1:6" x14ac:dyDescent="0.25">
      <c r="A137">
        <v>20100</v>
      </c>
      <c r="B137">
        <v>7</v>
      </c>
      <c r="C137" s="5">
        <v>52.673766666666602</v>
      </c>
      <c r="D137">
        <v>12</v>
      </c>
      <c r="E137" s="3">
        <f t="shared" si="7"/>
        <v>7.9511299696756778E-3</v>
      </c>
      <c r="F137" t="str">
        <f t="shared" si="8"/>
        <v>Sí</v>
      </c>
    </row>
    <row r="138" spans="1:6" x14ac:dyDescent="0.25">
      <c r="A138">
        <v>20124</v>
      </c>
      <c r="B138">
        <v>0</v>
      </c>
      <c r="C138" s="5">
        <v>52.4763533333333</v>
      </c>
      <c r="D138">
        <v>12</v>
      </c>
      <c r="E138" s="3">
        <f t="shared" si="7"/>
        <v>3.438098565057814E-3</v>
      </c>
      <c r="F138" t="str">
        <f t="shared" si="8"/>
        <v>Sí</v>
      </c>
    </row>
    <row r="139" spans="1:6" x14ac:dyDescent="0.25">
      <c r="A139">
        <v>20151</v>
      </c>
      <c r="B139">
        <v>0</v>
      </c>
      <c r="C139" s="5">
        <v>52.097589999999997</v>
      </c>
      <c r="D139">
        <v>12</v>
      </c>
      <c r="E139" s="3">
        <f t="shared" si="7"/>
        <v>3.4132830893223351E-3</v>
      </c>
      <c r="F139" t="str">
        <f t="shared" si="8"/>
        <v>Sí</v>
      </c>
    </row>
    <row r="140" spans="1:6" x14ac:dyDescent="0.25">
      <c r="A140">
        <v>20146</v>
      </c>
      <c r="B140">
        <v>0</v>
      </c>
      <c r="C140" s="5">
        <v>51.946440000000003</v>
      </c>
      <c r="D140">
        <v>12</v>
      </c>
      <c r="E140" s="3">
        <f t="shared" si="7"/>
        <v>3.4033801794381919E-3</v>
      </c>
      <c r="F140" t="str">
        <f t="shared" si="8"/>
        <v>Sí</v>
      </c>
    </row>
    <row r="141" spans="1:6" x14ac:dyDescent="0.25">
      <c r="A141">
        <v>20109</v>
      </c>
      <c r="B141">
        <v>0</v>
      </c>
      <c r="C141" s="5">
        <v>51.540626666666597</v>
      </c>
      <c r="D141">
        <v>12</v>
      </c>
      <c r="E141" s="3">
        <f t="shared" si="7"/>
        <v>3.3767924661084877E-3</v>
      </c>
      <c r="F141" t="str">
        <f t="shared" si="8"/>
        <v>Sí</v>
      </c>
    </row>
    <row r="142" spans="1:6" x14ac:dyDescent="0.25">
      <c r="A142">
        <v>20137</v>
      </c>
      <c r="B142">
        <v>0</v>
      </c>
      <c r="C142" s="5">
        <v>50.799569999999903</v>
      </c>
      <c r="D142">
        <v>12</v>
      </c>
      <c r="E142" s="3">
        <f t="shared" si="7"/>
        <v>3.3282405812984036E-3</v>
      </c>
      <c r="F142" t="str">
        <f t="shared" si="8"/>
        <v>Sí</v>
      </c>
    </row>
    <row r="143" spans="1:6" x14ac:dyDescent="0.25">
      <c r="A143">
        <v>20167</v>
      </c>
      <c r="B143">
        <v>0</v>
      </c>
      <c r="C143" s="5">
        <v>49.7122733333333</v>
      </c>
      <c r="D143">
        <v>12</v>
      </c>
      <c r="E143" s="3">
        <f t="shared" si="7"/>
        <v>3.2570040552823312E-3</v>
      </c>
      <c r="F143" t="str">
        <f t="shared" si="8"/>
        <v>Sí</v>
      </c>
    </row>
    <row r="144" spans="1:6" x14ac:dyDescent="0.25">
      <c r="A144">
        <v>20286</v>
      </c>
      <c r="B144" t="s">
        <v>21</v>
      </c>
      <c r="C144" s="5">
        <v>47.802416666666602</v>
      </c>
      <c r="D144">
        <v>0</v>
      </c>
      <c r="E144" s="3">
        <f t="shared" si="7"/>
        <v>2.0753366573268445E-2</v>
      </c>
      <c r="F144" t="str">
        <f t="shared" si="8"/>
        <v/>
      </c>
    </row>
    <row r="145" spans="1:6" x14ac:dyDescent="0.25">
      <c r="A145">
        <v>20117</v>
      </c>
      <c r="B145">
        <v>0</v>
      </c>
      <c r="C145" s="5">
        <v>47.408536666666599</v>
      </c>
      <c r="D145">
        <v>12</v>
      </c>
      <c r="E145" s="3">
        <f t="shared" si="7"/>
        <v>3.1060699063786053E-3</v>
      </c>
      <c r="F145" t="str">
        <f t="shared" si="8"/>
        <v>Sí</v>
      </c>
    </row>
    <row r="146" spans="1:6" x14ac:dyDescent="0.25">
      <c r="A146">
        <v>20090</v>
      </c>
      <c r="B146">
        <v>0</v>
      </c>
      <c r="C146" s="5">
        <v>46.920996666666603</v>
      </c>
      <c r="D146">
        <v>12</v>
      </c>
      <c r="E146" s="3">
        <f t="shared" si="7"/>
        <v>3.0741276987377494E-3</v>
      </c>
      <c r="F146" t="str">
        <f t="shared" si="8"/>
        <v>Sí</v>
      </c>
    </row>
    <row r="147" spans="1:6" x14ac:dyDescent="0.25">
      <c r="A147">
        <v>20235</v>
      </c>
      <c r="B147">
        <v>7</v>
      </c>
      <c r="C147" s="5">
        <v>46.804846666666599</v>
      </c>
      <c r="D147">
        <v>12</v>
      </c>
      <c r="E147" s="3">
        <f t="shared" si="7"/>
        <v>7.0652137222780974E-3</v>
      </c>
      <c r="F147" t="str">
        <f t="shared" si="8"/>
        <v>Sí</v>
      </c>
    </row>
    <row r="148" spans="1:6" x14ac:dyDescent="0.25">
      <c r="A148">
        <v>20440</v>
      </c>
      <c r="B148" t="s">
        <v>21</v>
      </c>
      <c r="C148" s="5">
        <v>45.825386666666603</v>
      </c>
      <c r="D148">
        <v>0</v>
      </c>
      <c r="E148" s="3">
        <f t="shared" si="7"/>
        <v>1.9895041175151916E-2</v>
      </c>
      <c r="F148" t="str">
        <f t="shared" si="8"/>
        <v/>
      </c>
    </row>
    <row r="149" spans="1:6" x14ac:dyDescent="0.25">
      <c r="A149">
        <v>20160</v>
      </c>
      <c r="B149">
        <v>2</v>
      </c>
      <c r="C149" s="5">
        <v>45.409973333333298</v>
      </c>
      <c r="D149">
        <v>12</v>
      </c>
      <c r="E149" s="3">
        <f t="shared" si="7"/>
        <v>1.835780786224582E-2</v>
      </c>
      <c r="F149" t="str">
        <f t="shared" si="8"/>
        <v/>
      </c>
    </row>
    <row r="150" spans="1:6" x14ac:dyDescent="0.25">
      <c r="A150">
        <v>20079</v>
      </c>
      <c r="B150">
        <v>0</v>
      </c>
      <c r="C150" s="5">
        <v>44.131853333333297</v>
      </c>
      <c r="D150">
        <v>12</v>
      </c>
      <c r="E150" s="3">
        <f t="shared" si="7"/>
        <v>2.8913911120095974E-3</v>
      </c>
      <c r="F150" t="str">
        <f t="shared" si="8"/>
        <v>Sí</v>
      </c>
    </row>
    <row r="151" spans="1:6" x14ac:dyDescent="0.25">
      <c r="A151">
        <v>20189</v>
      </c>
      <c r="B151">
        <v>0</v>
      </c>
      <c r="C151" s="5">
        <v>42.457023333333296</v>
      </c>
      <c r="D151">
        <v>12</v>
      </c>
      <c r="E151" s="3">
        <f t="shared" si="7"/>
        <v>2.7816611049883565E-3</v>
      </c>
      <c r="F151" t="str">
        <f t="shared" si="8"/>
        <v>Sí</v>
      </c>
    </row>
    <row r="152" spans="1:6" x14ac:dyDescent="0.25">
      <c r="A152">
        <v>20355</v>
      </c>
      <c r="B152" t="s">
        <v>21</v>
      </c>
      <c r="C152" s="5">
        <v>41.843816666666598</v>
      </c>
      <c r="D152">
        <v>0</v>
      </c>
      <c r="E152" s="3">
        <f t="shared" si="7"/>
        <v>1.8166446942702818E-2</v>
      </c>
      <c r="F152" t="str">
        <f t="shared" si="8"/>
        <v/>
      </c>
    </row>
    <row r="153" spans="1:6" x14ac:dyDescent="0.25">
      <c r="A153">
        <v>20232</v>
      </c>
      <c r="B153">
        <v>2</v>
      </c>
      <c r="C153" s="5">
        <v>41.442309999999999</v>
      </c>
      <c r="D153">
        <v>12</v>
      </c>
      <c r="E153" s="3">
        <f t="shared" si="7"/>
        <v>1.6753807776169048E-2</v>
      </c>
      <c r="F153" t="str">
        <f t="shared" si="8"/>
        <v/>
      </c>
    </row>
    <row r="154" spans="1:6" x14ac:dyDescent="0.25">
      <c r="A154">
        <v>20166</v>
      </c>
      <c r="B154">
        <v>0</v>
      </c>
      <c r="C154" s="5">
        <v>41.229903333333297</v>
      </c>
      <c r="D154">
        <v>12</v>
      </c>
      <c r="E154" s="3">
        <f t="shared" si="7"/>
        <v>2.7012637594572247E-3</v>
      </c>
      <c r="F154" t="str">
        <f t="shared" si="8"/>
        <v>Sí</v>
      </c>
    </row>
    <row r="155" spans="1:6" x14ac:dyDescent="0.25">
      <c r="A155">
        <v>20138</v>
      </c>
      <c r="B155">
        <v>0</v>
      </c>
      <c r="C155" s="5">
        <v>40.659026666666598</v>
      </c>
      <c r="D155">
        <v>12</v>
      </c>
      <c r="E155" s="3">
        <f t="shared" si="7"/>
        <v>2.6638615749718744E-3</v>
      </c>
      <c r="F155" t="str">
        <f t="shared" si="8"/>
        <v>Sí</v>
      </c>
    </row>
    <row r="156" spans="1:6" x14ac:dyDescent="0.25">
      <c r="A156">
        <v>20237</v>
      </c>
      <c r="B156">
        <v>7</v>
      </c>
      <c r="C156" s="5">
        <v>40.5289066666666</v>
      </c>
      <c r="D156">
        <v>10</v>
      </c>
      <c r="E156" s="3">
        <f t="shared" si="7"/>
        <v>6.1178576135404823E-3</v>
      </c>
      <c r="F156" t="str">
        <f t="shared" si="8"/>
        <v/>
      </c>
    </row>
    <row r="157" spans="1:6" x14ac:dyDescent="0.25">
      <c r="A157">
        <v>20181</v>
      </c>
      <c r="B157">
        <v>0</v>
      </c>
      <c r="C157" s="5">
        <v>40.425576666666601</v>
      </c>
      <c r="D157">
        <v>12</v>
      </c>
      <c r="E157" s="3">
        <f t="shared" si="7"/>
        <v>2.6485666076384085E-3</v>
      </c>
      <c r="F157" t="str">
        <f t="shared" si="8"/>
        <v>Sí</v>
      </c>
    </row>
    <row r="158" spans="1:6" x14ac:dyDescent="0.25">
      <c r="A158">
        <v>20142</v>
      </c>
      <c r="B158">
        <v>0</v>
      </c>
      <c r="C158" s="5">
        <v>40.0132366666666</v>
      </c>
      <c r="D158">
        <v>12</v>
      </c>
      <c r="E158" s="3">
        <f t="shared" si="7"/>
        <v>2.6215512860265802E-3</v>
      </c>
      <c r="F158" t="str">
        <f t="shared" si="8"/>
        <v>Sí</v>
      </c>
    </row>
    <row r="159" spans="1:6" x14ac:dyDescent="0.25">
      <c r="A159">
        <v>20177</v>
      </c>
      <c r="B159">
        <v>0</v>
      </c>
      <c r="C159" s="5">
        <v>38.991976666666602</v>
      </c>
      <c r="D159">
        <v>12</v>
      </c>
      <c r="E159" s="3">
        <f t="shared" si="7"/>
        <v>2.5546412909999137E-3</v>
      </c>
      <c r="F159" t="str">
        <f t="shared" si="8"/>
        <v>Sí</v>
      </c>
    </row>
    <row r="160" spans="1:6" x14ac:dyDescent="0.25">
      <c r="A160">
        <v>20102</v>
      </c>
      <c r="B160">
        <v>0</v>
      </c>
      <c r="C160" s="5">
        <v>38.400770000000001</v>
      </c>
      <c r="D160">
        <v>12</v>
      </c>
      <c r="E160" s="3">
        <f t="shared" si="7"/>
        <v>2.5159071438420944E-3</v>
      </c>
      <c r="F160" t="str">
        <f t="shared" si="8"/>
        <v>Sí</v>
      </c>
    </row>
    <row r="161" spans="1:6" x14ac:dyDescent="0.25">
      <c r="A161">
        <v>20212</v>
      </c>
      <c r="B161">
        <v>7</v>
      </c>
      <c r="C161" s="5">
        <v>38.354979999999998</v>
      </c>
      <c r="D161">
        <v>12</v>
      </c>
      <c r="E161" s="3">
        <f t="shared" si="7"/>
        <v>5.7897023559035062E-3</v>
      </c>
      <c r="F161" t="str">
        <f t="shared" si="8"/>
        <v>Sí</v>
      </c>
    </row>
    <row r="162" spans="1:6" x14ac:dyDescent="0.25">
      <c r="A162">
        <v>20297</v>
      </c>
      <c r="B162">
        <v>0</v>
      </c>
      <c r="C162" s="5">
        <v>37.7918533333333</v>
      </c>
      <c r="D162">
        <v>12</v>
      </c>
      <c r="E162" s="3">
        <f t="shared" si="7"/>
        <v>2.4760126888175916E-3</v>
      </c>
      <c r="F162" t="str">
        <f t="shared" si="8"/>
        <v>Sí</v>
      </c>
    </row>
    <row r="163" spans="1:6" x14ac:dyDescent="0.25">
      <c r="A163">
        <v>20175</v>
      </c>
      <c r="B163">
        <v>0</v>
      </c>
      <c r="C163" s="5">
        <v>37.685426666666601</v>
      </c>
      <c r="D163">
        <v>12</v>
      </c>
      <c r="E163" s="3">
        <f t="shared" si="7"/>
        <v>2.4690399221006208E-3</v>
      </c>
      <c r="F163" t="str">
        <f t="shared" si="8"/>
        <v>Sí</v>
      </c>
    </row>
    <row r="164" spans="1:6" x14ac:dyDescent="0.25">
      <c r="A164">
        <v>20180</v>
      </c>
      <c r="B164">
        <v>5</v>
      </c>
      <c r="C164" s="5">
        <v>37.038730000000001</v>
      </c>
      <c r="D164">
        <v>12</v>
      </c>
      <c r="E164" s="3">
        <f t="shared" si="7"/>
        <v>0.16156024097611801</v>
      </c>
      <c r="F164" t="str">
        <f t="shared" si="8"/>
        <v/>
      </c>
    </row>
    <row r="165" spans="1:6" x14ac:dyDescent="0.25">
      <c r="A165">
        <v>20176</v>
      </c>
      <c r="B165">
        <v>0</v>
      </c>
      <c r="C165" s="5">
        <v>36.939733333333301</v>
      </c>
      <c r="D165">
        <v>12</v>
      </c>
      <c r="E165" s="3">
        <f t="shared" si="7"/>
        <v>2.4201842563301513E-3</v>
      </c>
      <c r="F165" t="str">
        <f t="shared" si="8"/>
        <v>Sí</v>
      </c>
    </row>
    <row r="166" spans="1:6" x14ac:dyDescent="0.25">
      <c r="A166">
        <v>20266</v>
      </c>
      <c r="B166">
        <v>2</v>
      </c>
      <c r="C166" s="5">
        <v>36.480080000000001</v>
      </c>
      <c r="D166">
        <v>8</v>
      </c>
      <c r="E166" s="3">
        <f t="shared" si="7"/>
        <v>1.474773602097154E-2</v>
      </c>
      <c r="F166" t="str">
        <f t="shared" si="8"/>
        <v/>
      </c>
    </row>
    <row r="167" spans="1:6" x14ac:dyDescent="0.25">
      <c r="A167">
        <v>20184</v>
      </c>
      <c r="B167">
        <v>0</v>
      </c>
      <c r="C167" s="5">
        <v>36.432666666666599</v>
      </c>
      <c r="D167">
        <v>12</v>
      </c>
      <c r="E167" s="3">
        <f t="shared" si="7"/>
        <v>2.3869627180883152E-3</v>
      </c>
      <c r="F167" t="str">
        <f t="shared" si="8"/>
        <v>Sí</v>
      </c>
    </row>
    <row r="168" spans="1:6" x14ac:dyDescent="0.25">
      <c r="A168">
        <v>20306</v>
      </c>
      <c r="B168">
        <v>0</v>
      </c>
      <c r="C168" s="5">
        <v>36.369120000000002</v>
      </c>
      <c r="D168">
        <v>12</v>
      </c>
      <c r="E168" s="3">
        <f t="shared" si="7"/>
        <v>2.3827993246815205E-3</v>
      </c>
      <c r="F168" t="str">
        <f t="shared" si="8"/>
        <v>Sí</v>
      </c>
    </row>
    <row r="169" spans="1:6" x14ac:dyDescent="0.25">
      <c r="A169">
        <v>20193</v>
      </c>
      <c r="B169">
        <v>0</v>
      </c>
      <c r="C169" s="5">
        <v>35.864366666666598</v>
      </c>
      <c r="D169">
        <v>12</v>
      </c>
      <c r="E169" s="3">
        <f t="shared" si="7"/>
        <v>2.3497293493343692E-3</v>
      </c>
      <c r="F169" t="str">
        <f t="shared" si="8"/>
        <v>Sí</v>
      </c>
    </row>
    <row r="170" spans="1:6" x14ac:dyDescent="0.25">
      <c r="A170">
        <v>20414</v>
      </c>
      <c r="B170" t="s">
        <v>21</v>
      </c>
      <c r="C170" s="5">
        <v>35.793693333333302</v>
      </c>
      <c r="D170">
        <v>0</v>
      </c>
      <c r="E170" s="3">
        <f t="shared" si="7"/>
        <v>1.5539792557722611E-2</v>
      </c>
      <c r="F170" t="str">
        <f t="shared" si="8"/>
        <v/>
      </c>
    </row>
    <row r="171" spans="1:6" x14ac:dyDescent="0.25">
      <c r="A171">
        <v>20196</v>
      </c>
      <c r="B171">
        <v>3</v>
      </c>
      <c r="C171" s="5">
        <v>35.547633333333302</v>
      </c>
      <c r="D171">
        <v>12</v>
      </c>
      <c r="E171" s="3">
        <f t="shared" si="7"/>
        <v>1.0733609161403231E-2</v>
      </c>
      <c r="F171" t="str">
        <f t="shared" si="8"/>
        <v>Sí</v>
      </c>
    </row>
    <row r="172" spans="1:6" x14ac:dyDescent="0.25">
      <c r="A172">
        <v>20179</v>
      </c>
      <c r="B172">
        <v>0</v>
      </c>
      <c r="C172" s="5">
        <v>34.686876666666599</v>
      </c>
      <c r="D172">
        <v>12</v>
      </c>
      <c r="E172" s="3">
        <f t="shared" si="7"/>
        <v>2.2725836175481935E-3</v>
      </c>
      <c r="F172" t="str">
        <f t="shared" si="8"/>
        <v>Sí</v>
      </c>
    </row>
    <row r="173" spans="1:6" x14ac:dyDescent="0.25">
      <c r="A173">
        <v>20218</v>
      </c>
      <c r="B173">
        <v>0</v>
      </c>
      <c r="C173" s="5">
        <v>34.528486666666602</v>
      </c>
      <c r="D173">
        <v>12</v>
      </c>
      <c r="E173" s="3">
        <f t="shared" si="7"/>
        <v>2.262206363849553E-3</v>
      </c>
      <c r="F173" t="str">
        <f t="shared" si="8"/>
        <v>Sí</v>
      </c>
    </row>
    <row r="174" spans="1:6" x14ac:dyDescent="0.25">
      <c r="A174">
        <v>20316</v>
      </c>
      <c r="B174">
        <v>3</v>
      </c>
      <c r="C174" s="5">
        <v>34.324276666666599</v>
      </c>
      <c r="D174">
        <v>12</v>
      </c>
      <c r="E174" s="3">
        <f t="shared" si="7"/>
        <v>1.0364216571976346E-2</v>
      </c>
      <c r="F174" t="str">
        <f t="shared" si="8"/>
        <v>Sí</v>
      </c>
    </row>
    <row r="175" spans="1:6" x14ac:dyDescent="0.25">
      <c r="A175">
        <v>20188</v>
      </c>
      <c r="B175">
        <v>0</v>
      </c>
      <c r="C175" s="5">
        <v>34.322906666666597</v>
      </c>
      <c r="D175">
        <v>12</v>
      </c>
      <c r="E175" s="3">
        <f t="shared" si="7"/>
        <v>2.248737358133494E-3</v>
      </c>
      <c r="F175" t="str">
        <f t="shared" si="8"/>
        <v>Sí</v>
      </c>
    </row>
    <row r="176" spans="1:6" x14ac:dyDescent="0.25">
      <c r="A176">
        <v>20389</v>
      </c>
      <c r="B176">
        <v>7</v>
      </c>
      <c r="C176" s="5">
        <v>34.303706666666599</v>
      </c>
      <c r="D176">
        <v>8</v>
      </c>
      <c r="E176" s="3">
        <f t="shared" si="7"/>
        <v>5.1781607317803952E-3</v>
      </c>
      <c r="F176" t="str">
        <f t="shared" si="8"/>
        <v/>
      </c>
    </row>
    <row r="177" spans="1:6" x14ac:dyDescent="0.25">
      <c r="A177">
        <v>20182</v>
      </c>
      <c r="B177">
        <v>0</v>
      </c>
      <c r="C177" s="5">
        <v>34.031350000000003</v>
      </c>
      <c r="D177">
        <v>12</v>
      </c>
      <c r="E177" s="3">
        <f t="shared" si="7"/>
        <v>2.2296354104251207E-3</v>
      </c>
      <c r="F177" t="str">
        <f t="shared" si="8"/>
        <v>Sí</v>
      </c>
    </row>
    <row r="178" spans="1:6" x14ac:dyDescent="0.25">
      <c r="A178">
        <v>20201</v>
      </c>
      <c r="B178">
        <v>0</v>
      </c>
      <c r="C178" s="5">
        <v>33.205190000000002</v>
      </c>
      <c r="D178">
        <v>12</v>
      </c>
      <c r="E178" s="3">
        <f t="shared" si="7"/>
        <v>2.1755078018913182E-3</v>
      </c>
      <c r="F178" t="str">
        <f t="shared" si="8"/>
        <v>Sí</v>
      </c>
    </row>
    <row r="179" spans="1:6" x14ac:dyDescent="0.25">
      <c r="A179">
        <v>20364</v>
      </c>
      <c r="B179">
        <v>7</v>
      </c>
      <c r="C179" s="5">
        <v>33.116073333333297</v>
      </c>
      <c r="D179">
        <v>8</v>
      </c>
      <c r="E179" s="3">
        <f t="shared" si="7"/>
        <v>4.9988869188896216E-3</v>
      </c>
      <c r="F179" t="str">
        <f t="shared" si="8"/>
        <v/>
      </c>
    </row>
    <row r="180" spans="1:6" x14ac:dyDescent="0.25">
      <c r="A180">
        <v>20187</v>
      </c>
      <c r="B180">
        <v>0</v>
      </c>
      <c r="C180" s="5">
        <v>32.3991166666666</v>
      </c>
      <c r="D180">
        <v>12</v>
      </c>
      <c r="E180" s="3">
        <f t="shared" si="7"/>
        <v>2.1226962135353004E-3</v>
      </c>
      <c r="F180" t="str">
        <f t="shared" si="8"/>
        <v>Sí</v>
      </c>
    </row>
    <row r="181" spans="1:6" x14ac:dyDescent="0.25">
      <c r="A181">
        <v>20224</v>
      </c>
      <c r="B181">
        <v>1</v>
      </c>
      <c r="C181" s="5">
        <v>31.189340000000001</v>
      </c>
      <c r="D181">
        <v>12</v>
      </c>
      <c r="E181" s="3">
        <f t="shared" si="7"/>
        <v>7.109450949578193E-2</v>
      </c>
      <c r="F181" t="str">
        <f t="shared" si="8"/>
        <v/>
      </c>
    </row>
    <row r="182" spans="1:6" x14ac:dyDescent="0.25">
      <c r="A182">
        <v>20198</v>
      </c>
      <c r="B182">
        <v>0</v>
      </c>
      <c r="C182" s="5">
        <v>30.99333</v>
      </c>
      <c r="D182">
        <v>12</v>
      </c>
      <c r="E182" s="3">
        <f t="shared" si="7"/>
        <v>2.030593145878468E-3</v>
      </c>
      <c r="F182" t="str">
        <f t="shared" si="8"/>
        <v>Sí</v>
      </c>
    </row>
    <row r="183" spans="1:6" x14ac:dyDescent="0.25">
      <c r="A183">
        <v>20321</v>
      </c>
      <c r="B183">
        <v>0</v>
      </c>
      <c r="C183" s="5">
        <v>29.759163333333301</v>
      </c>
      <c r="D183">
        <v>12</v>
      </c>
      <c r="E183" s="3">
        <f t="shared" si="7"/>
        <v>1.949734123172451E-3</v>
      </c>
      <c r="F183" t="str">
        <f t="shared" si="8"/>
        <v>Sí</v>
      </c>
    </row>
    <row r="184" spans="1:6" x14ac:dyDescent="0.25">
      <c r="A184">
        <v>20205</v>
      </c>
      <c r="B184">
        <v>0</v>
      </c>
      <c r="C184" s="5">
        <v>29.647880000000001</v>
      </c>
      <c r="D184">
        <v>12</v>
      </c>
      <c r="E184" s="3">
        <f t="shared" si="7"/>
        <v>1.9424431617327766E-3</v>
      </c>
      <c r="F184" t="str">
        <f t="shared" si="8"/>
        <v>Sí</v>
      </c>
    </row>
    <row r="185" spans="1:6" x14ac:dyDescent="0.25">
      <c r="A185">
        <v>20197</v>
      </c>
      <c r="B185">
        <v>0</v>
      </c>
      <c r="C185" s="5">
        <v>29.6274366666666</v>
      </c>
      <c r="D185">
        <v>12</v>
      </c>
      <c r="E185" s="3">
        <f t="shared" si="7"/>
        <v>1.9411037737887991E-3</v>
      </c>
      <c r="F185" t="str">
        <f t="shared" si="8"/>
        <v>Sí</v>
      </c>
    </row>
    <row r="186" spans="1:6" x14ac:dyDescent="0.25">
      <c r="A186">
        <v>20200</v>
      </c>
      <c r="B186">
        <v>0</v>
      </c>
      <c r="C186" s="5">
        <v>29.196466666666598</v>
      </c>
      <c r="D186">
        <v>12</v>
      </c>
      <c r="E186" s="3">
        <f t="shared" si="7"/>
        <v>1.9128678685769601E-3</v>
      </c>
      <c r="F186" t="str">
        <f t="shared" si="8"/>
        <v>Sí</v>
      </c>
    </row>
    <row r="187" spans="1:6" x14ac:dyDescent="0.25">
      <c r="A187">
        <v>20152</v>
      </c>
      <c r="B187">
        <v>7</v>
      </c>
      <c r="C187" s="5">
        <v>28.4635866666666</v>
      </c>
      <c r="D187">
        <v>12</v>
      </c>
      <c r="E187" s="3">
        <f t="shared" si="7"/>
        <v>4.2965918579924494E-3</v>
      </c>
      <c r="F187" t="str">
        <f t="shared" si="8"/>
        <v>Sí</v>
      </c>
    </row>
    <row r="188" spans="1:6" x14ac:dyDescent="0.25">
      <c r="A188">
        <v>20323</v>
      </c>
      <c r="B188">
        <v>7</v>
      </c>
      <c r="C188" s="5">
        <v>28.139853333333299</v>
      </c>
      <c r="D188">
        <v>12</v>
      </c>
      <c r="E188" s="3">
        <f t="shared" si="7"/>
        <v>4.2477241583434256E-3</v>
      </c>
      <c r="F188" t="str">
        <f t="shared" si="8"/>
        <v>Sí</v>
      </c>
    </row>
    <row r="189" spans="1:6" x14ac:dyDescent="0.25">
      <c r="A189">
        <v>20202</v>
      </c>
      <c r="B189">
        <v>7</v>
      </c>
      <c r="C189" s="5">
        <v>28.057729999999999</v>
      </c>
      <c r="D189">
        <v>12</v>
      </c>
      <c r="E189" s="3">
        <f t="shared" si="7"/>
        <v>4.2353276023688316E-3</v>
      </c>
      <c r="F189" t="str">
        <f t="shared" si="8"/>
        <v>Sí</v>
      </c>
    </row>
    <row r="190" spans="1:6" x14ac:dyDescent="0.25">
      <c r="A190">
        <v>20192</v>
      </c>
      <c r="B190">
        <v>4</v>
      </c>
      <c r="C190" s="5">
        <v>27.13571</v>
      </c>
      <c r="D190">
        <v>11</v>
      </c>
      <c r="E190" s="3">
        <f t="shared" si="7"/>
        <v>0.31390862835332256</v>
      </c>
      <c r="F190" t="str">
        <f t="shared" si="8"/>
        <v/>
      </c>
    </row>
    <row r="191" spans="1:6" x14ac:dyDescent="0.25">
      <c r="A191">
        <v>20458</v>
      </c>
      <c r="B191" t="s">
        <v>21</v>
      </c>
      <c r="C191" s="5">
        <v>27.033993333333299</v>
      </c>
      <c r="D191">
        <v>0</v>
      </c>
      <c r="E191" s="3">
        <f t="shared" si="7"/>
        <v>1.1736778445705403E-2</v>
      </c>
      <c r="F191" t="str">
        <f t="shared" si="8"/>
        <v/>
      </c>
    </row>
    <row r="192" spans="1:6" x14ac:dyDescent="0.25">
      <c r="A192">
        <v>20220</v>
      </c>
      <c r="B192">
        <v>0</v>
      </c>
      <c r="C192" s="5">
        <v>26.943166666666599</v>
      </c>
      <c r="D192">
        <v>12</v>
      </c>
      <c r="E192" s="3">
        <f t="shared" si="7"/>
        <v>1.7652381838800285E-3</v>
      </c>
      <c r="F192" t="str">
        <f t="shared" si="8"/>
        <v>Sí</v>
      </c>
    </row>
    <row r="193" spans="1:6" x14ac:dyDescent="0.25">
      <c r="A193">
        <v>20168</v>
      </c>
      <c r="B193">
        <v>0</v>
      </c>
      <c r="C193" s="5">
        <v>26.918399999999998</v>
      </c>
      <c r="D193">
        <v>12</v>
      </c>
      <c r="E193" s="3">
        <f t="shared" si="7"/>
        <v>1.7636155436674583E-3</v>
      </c>
      <c r="F193" t="str">
        <f t="shared" si="8"/>
        <v>Sí</v>
      </c>
    </row>
    <row r="194" spans="1:6" x14ac:dyDescent="0.25">
      <c r="A194">
        <v>20262</v>
      </c>
      <c r="B194">
        <v>7</v>
      </c>
      <c r="C194" s="5">
        <v>26.768723333333298</v>
      </c>
      <c r="D194">
        <v>9</v>
      </c>
      <c r="E194" s="3">
        <f t="shared" si="7"/>
        <v>4.0407514369067317E-3</v>
      </c>
      <c r="F194" t="str">
        <f t="shared" si="8"/>
        <v/>
      </c>
    </row>
    <row r="195" spans="1:6" x14ac:dyDescent="0.25">
      <c r="A195">
        <v>20233</v>
      </c>
      <c r="B195">
        <v>0</v>
      </c>
      <c r="C195" s="5">
        <v>26.351209999999998</v>
      </c>
      <c r="D195">
        <v>12</v>
      </c>
      <c r="E195" s="3">
        <f t="shared" ref="E195:E258" si="9">$C195/SUMIF($B$2:$B$781,B195,$C$2:$C$781)</f>
        <v>1.7264548988961219E-3</v>
      </c>
      <c r="F195" t="str">
        <f t="shared" ref="F195:F258" si="10">IF(AND(OR(B195=0,B195=3,B195=7),D195=12),"Sí","")</f>
        <v>Sí</v>
      </c>
    </row>
    <row r="196" spans="1:6" x14ac:dyDescent="0.25">
      <c r="A196">
        <v>20208</v>
      </c>
      <c r="B196">
        <v>0</v>
      </c>
      <c r="C196" s="5">
        <v>26.321773333333301</v>
      </c>
      <c r="D196">
        <v>12</v>
      </c>
      <c r="E196" s="3">
        <f t="shared" si="9"/>
        <v>1.7245262938197746E-3</v>
      </c>
      <c r="F196" t="str">
        <f t="shared" si="10"/>
        <v>Sí</v>
      </c>
    </row>
    <row r="197" spans="1:6" x14ac:dyDescent="0.25">
      <c r="A197">
        <v>20313</v>
      </c>
      <c r="B197">
        <v>0</v>
      </c>
      <c r="C197" s="5">
        <v>25.918620000000001</v>
      </c>
      <c r="D197">
        <v>12</v>
      </c>
      <c r="E197" s="3">
        <f t="shared" si="9"/>
        <v>1.6981128559799344E-3</v>
      </c>
      <c r="F197" t="str">
        <f t="shared" si="10"/>
        <v>Sí</v>
      </c>
    </row>
    <row r="198" spans="1:6" x14ac:dyDescent="0.25">
      <c r="A198">
        <v>20215</v>
      </c>
      <c r="B198">
        <v>0</v>
      </c>
      <c r="C198" s="5">
        <v>25.807956666666598</v>
      </c>
      <c r="D198">
        <v>12</v>
      </c>
      <c r="E198" s="3">
        <f t="shared" si="9"/>
        <v>1.6908625151431521E-3</v>
      </c>
      <c r="F198" t="str">
        <f t="shared" si="10"/>
        <v>Sí</v>
      </c>
    </row>
    <row r="199" spans="1:6" x14ac:dyDescent="0.25">
      <c r="A199">
        <v>20206</v>
      </c>
      <c r="B199">
        <v>0</v>
      </c>
      <c r="C199" s="5">
        <v>25.68384</v>
      </c>
      <c r="D199">
        <v>12</v>
      </c>
      <c r="E199" s="3">
        <f t="shared" si="9"/>
        <v>1.6827307509015401E-3</v>
      </c>
      <c r="F199" t="str">
        <f t="shared" si="10"/>
        <v>Sí</v>
      </c>
    </row>
    <row r="200" spans="1:6" x14ac:dyDescent="0.25">
      <c r="A200">
        <v>20209</v>
      </c>
      <c r="B200">
        <v>0</v>
      </c>
      <c r="C200" s="5">
        <v>25.004149999999999</v>
      </c>
      <c r="D200">
        <v>12</v>
      </c>
      <c r="E200" s="3">
        <f t="shared" si="9"/>
        <v>1.6381994322170962E-3</v>
      </c>
      <c r="F200" t="str">
        <f t="shared" si="10"/>
        <v>Sí</v>
      </c>
    </row>
    <row r="201" spans="1:6" x14ac:dyDescent="0.25">
      <c r="A201">
        <v>20238</v>
      </c>
      <c r="B201">
        <v>0</v>
      </c>
      <c r="C201" s="5">
        <v>24.358139999999999</v>
      </c>
      <c r="D201">
        <v>12</v>
      </c>
      <c r="E201" s="3">
        <f t="shared" si="9"/>
        <v>1.5958747295094829E-3</v>
      </c>
      <c r="F201" t="str">
        <f t="shared" si="10"/>
        <v>Sí</v>
      </c>
    </row>
    <row r="202" spans="1:6" x14ac:dyDescent="0.25">
      <c r="A202">
        <v>20219</v>
      </c>
      <c r="B202">
        <v>0</v>
      </c>
      <c r="C202" s="5">
        <v>23.762836666666601</v>
      </c>
      <c r="D202">
        <v>12</v>
      </c>
      <c r="E202" s="3">
        <f t="shared" si="9"/>
        <v>1.556872180626049E-3</v>
      </c>
      <c r="F202" t="str">
        <f t="shared" si="10"/>
        <v>Sí</v>
      </c>
    </row>
    <row r="203" spans="1:6" x14ac:dyDescent="0.25">
      <c r="A203">
        <v>20231</v>
      </c>
      <c r="B203">
        <v>0</v>
      </c>
      <c r="C203" s="5">
        <v>23.604769999999998</v>
      </c>
      <c r="D203">
        <v>12</v>
      </c>
      <c r="E203" s="3">
        <f t="shared" si="9"/>
        <v>1.5465161107902146E-3</v>
      </c>
      <c r="F203" t="str">
        <f t="shared" si="10"/>
        <v>Sí</v>
      </c>
    </row>
    <row r="204" spans="1:6" x14ac:dyDescent="0.25">
      <c r="A204">
        <v>20222</v>
      </c>
      <c r="B204">
        <v>0</v>
      </c>
      <c r="C204" s="5">
        <v>23.204499999999999</v>
      </c>
      <c r="D204">
        <v>12</v>
      </c>
      <c r="E204" s="3">
        <f t="shared" si="9"/>
        <v>1.5202915805928858E-3</v>
      </c>
      <c r="F204" t="str">
        <f t="shared" si="10"/>
        <v>Sí</v>
      </c>
    </row>
    <row r="205" spans="1:6" x14ac:dyDescent="0.25">
      <c r="A205">
        <v>20251</v>
      </c>
      <c r="B205">
        <v>0</v>
      </c>
      <c r="C205" s="5">
        <v>23.079336666666599</v>
      </c>
      <c r="D205">
        <v>12</v>
      </c>
      <c r="E205" s="3">
        <f t="shared" si="9"/>
        <v>1.512091241785081E-3</v>
      </c>
      <c r="F205" t="str">
        <f t="shared" si="10"/>
        <v>Sí</v>
      </c>
    </row>
    <row r="206" spans="1:6" x14ac:dyDescent="0.25">
      <c r="A206">
        <v>20395</v>
      </c>
      <c r="B206">
        <v>2</v>
      </c>
      <c r="C206" s="5">
        <v>22.949646666666599</v>
      </c>
      <c r="D206">
        <v>10</v>
      </c>
      <c r="E206" s="3">
        <f t="shared" si="9"/>
        <v>9.2778121872147314E-3</v>
      </c>
      <c r="F206" t="str">
        <f t="shared" si="10"/>
        <v/>
      </c>
    </row>
    <row r="207" spans="1:6" x14ac:dyDescent="0.25">
      <c r="A207">
        <v>20267</v>
      </c>
      <c r="B207">
        <v>0</v>
      </c>
      <c r="C207" s="5">
        <v>22.699929999999998</v>
      </c>
      <c r="D207">
        <v>12</v>
      </c>
      <c r="E207" s="3">
        <f t="shared" si="9"/>
        <v>1.4872336167143384E-3</v>
      </c>
      <c r="F207" t="str">
        <f t="shared" si="10"/>
        <v>Sí</v>
      </c>
    </row>
    <row r="208" spans="1:6" x14ac:dyDescent="0.25">
      <c r="A208">
        <v>20442</v>
      </c>
      <c r="B208" t="s">
        <v>21</v>
      </c>
      <c r="C208" s="5">
        <v>22.598039999999902</v>
      </c>
      <c r="D208">
        <v>0</v>
      </c>
      <c r="E208" s="3">
        <f t="shared" si="9"/>
        <v>9.8109141892906079E-3</v>
      </c>
      <c r="F208" t="str">
        <f t="shared" si="10"/>
        <v/>
      </c>
    </row>
    <row r="209" spans="1:6" x14ac:dyDescent="0.25">
      <c r="A209">
        <v>20290</v>
      </c>
      <c r="B209">
        <v>7</v>
      </c>
      <c r="C209" s="5">
        <v>22.4533666666666</v>
      </c>
      <c r="D209">
        <v>12</v>
      </c>
      <c r="E209" s="3">
        <f t="shared" si="9"/>
        <v>3.3893463088226061E-3</v>
      </c>
      <c r="F209" t="str">
        <f t="shared" si="10"/>
        <v>Sí</v>
      </c>
    </row>
    <row r="210" spans="1:6" x14ac:dyDescent="0.25">
      <c r="A210">
        <v>20225</v>
      </c>
      <c r="B210">
        <v>0</v>
      </c>
      <c r="C210" s="5">
        <v>22.390513333333299</v>
      </c>
      <c r="D210">
        <v>12</v>
      </c>
      <c r="E210" s="3">
        <f t="shared" si="9"/>
        <v>1.466961533574064E-3</v>
      </c>
      <c r="F210" t="str">
        <f t="shared" si="10"/>
        <v>Sí</v>
      </c>
    </row>
    <row r="211" spans="1:6" x14ac:dyDescent="0.25">
      <c r="A211">
        <v>20476</v>
      </c>
      <c r="B211" t="s">
        <v>21</v>
      </c>
      <c r="C211" s="5">
        <v>22.266449999999999</v>
      </c>
      <c r="D211">
        <v>0</v>
      </c>
      <c r="E211" s="3">
        <f t="shared" si="9"/>
        <v>9.6669547558164703E-3</v>
      </c>
      <c r="F211" t="str">
        <f t="shared" si="10"/>
        <v/>
      </c>
    </row>
    <row r="212" spans="1:6" x14ac:dyDescent="0.25">
      <c r="A212">
        <v>20211</v>
      </c>
      <c r="B212">
        <v>0</v>
      </c>
      <c r="C212" s="5">
        <v>22.252093333333299</v>
      </c>
      <c r="D212">
        <v>12</v>
      </c>
      <c r="E212" s="3">
        <f t="shared" si="9"/>
        <v>1.4578926563913767E-3</v>
      </c>
      <c r="F212" t="str">
        <f t="shared" si="10"/>
        <v>Sí</v>
      </c>
    </row>
    <row r="213" spans="1:6" x14ac:dyDescent="0.25">
      <c r="A213">
        <v>20378</v>
      </c>
      <c r="B213">
        <v>7</v>
      </c>
      <c r="C213" s="5">
        <v>21.7274966666666</v>
      </c>
      <c r="D213">
        <v>9</v>
      </c>
      <c r="E213" s="3">
        <f t="shared" si="9"/>
        <v>3.27977588930786E-3</v>
      </c>
      <c r="F213" t="str">
        <f t="shared" si="10"/>
        <v/>
      </c>
    </row>
    <row r="214" spans="1:6" x14ac:dyDescent="0.25">
      <c r="A214">
        <v>20340</v>
      </c>
      <c r="B214">
        <v>7</v>
      </c>
      <c r="C214" s="5">
        <v>21.630803333333301</v>
      </c>
      <c r="D214">
        <v>12</v>
      </c>
      <c r="E214" s="3">
        <f t="shared" si="9"/>
        <v>3.2651799849481144E-3</v>
      </c>
      <c r="F214" t="str">
        <f t="shared" si="10"/>
        <v>Sí</v>
      </c>
    </row>
    <row r="215" spans="1:6" x14ac:dyDescent="0.25">
      <c r="A215">
        <v>20263</v>
      </c>
      <c r="B215">
        <v>0</v>
      </c>
      <c r="C215" s="5">
        <v>21.5160499999999</v>
      </c>
      <c r="D215">
        <v>12</v>
      </c>
      <c r="E215" s="3">
        <f t="shared" si="9"/>
        <v>1.4096692306498917E-3</v>
      </c>
      <c r="F215" t="str">
        <f t="shared" si="10"/>
        <v>Sí</v>
      </c>
    </row>
    <row r="216" spans="1:6" x14ac:dyDescent="0.25">
      <c r="A216">
        <v>20244</v>
      </c>
      <c r="B216">
        <v>0</v>
      </c>
      <c r="C216" s="5">
        <v>21.514253333333301</v>
      </c>
      <c r="D216">
        <v>12</v>
      </c>
      <c r="E216" s="3">
        <f t="shared" si="9"/>
        <v>1.4095515182576245E-3</v>
      </c>
      <c r="F216" t="str">
        <f t="shared" si="10"/>
        <v>Sí</v>
      </c>
    </row>
    <row r="217" spans="1:6" x14ac:dyDescent="0.25">
      <c r="A217">
        <v>20276</v>
      </c>
      <c r="B217">
        <v>0</v>
      </c>
      <c r="C217" s="5">
        <v>21.362466666666599</v>
      </c>
      <c r="D217">
        <v>12</v>
      </c>
      <c r="E217" s="3">
        <f t="shared" si="9"/>
        <v>1.3996068958188888E-3</v>
      </c>
      <c r="F217" t="str">
        <f t="shared" si="10"/>
        <v>Sí</v>
      </c>
    </row>
    <row r="218" spans="1:6" x14ac:dyDescent="0.25">
      <c r="A218">
        <v>20254</v>
      </c>
      <c r="B218">
        <v>0</v>
      </c>
      <c r="C218" s="5">
        <v>21.171413333333302</v>
      </c>
      <c r="D218">
        <v>12</v>
      </c>
      <c r="E218" s="3">
        <f t="shared" si="9"/>
        <v>1.3870896351965605E-3</v>
      </c>
      <c r="F218" t="str">
        <f t="shared" si="10"/>
        <v>Sí</v>
      </c>
    </row>
    <row r="219" spans="1:6" x14ac:dyDescent="0.25">
      <c r="A219">
        <v>20256</v>
      </c>
      <c r="B219">
        <v>0</v>
      </c>
      <c r="C219" s="5">
        <v>21.090886666666599</v>
      </c>
      <c r="D219">
        <v>12</v>
      </c>
      <c r="E219" s="3">
        <f t="shared" si="9"/>
        <v>1.3818137614071402E-3</v>
      </c>
      <c r="F219" t="str">
        <f t="shared" si="10"/>
        <v>Sí</v>
      </c>
    </row>
    <row r="220" spans="1:6" x14ac:dyDescent="0.25">
      <c r="A220">
        <v>20303</v>
      </c>
      <c r="B220">
        <v>7</v>
      </c>
      <c r="C220" s="5">
        <v>20.9285866666666</v>
      </c>
      <c r="D220">
        <v>12</v>
      </c>
      <c r="E220" s="3">
        <f t="shared" si="9"/>
        <v>3.1591800472775718E-3</v>
      </c>
      <c r="F220" t="str">
        <f t="shared" si="10"/>
        <v>Sí</v>
      </c>
    </row>
    <row r="221" spans="1:6" x14ac:dyDescent="0.25">
      <c r="A221">
        <v>20230</v>
      </c>
      <c r="B221">
        <v>0</v>
      </c>
      <c r="C221" s="5">
        <v>20.9003433333333</v>
      </c>
      <c r="D221">
        <v>12</v>
      </c>
      <c r="E221" s="3">
        <f t="shared" si="9"/>
        <v>1.3693299145065513E-3</v>
      </c>
      <c r="F221" t="str">
        <f t="shared" si="10"/>
        <v>Sí</v>
      </c>
    </row>
    <row r="222" spans="1:6" x14ac:dyDescent="0.25">
      <c r="A222">
        <v>20246</v>
      </c>
      <c r="B222">
        <v>0</v>
      </c>
      <c r="C222" s="5">
        <v>20.346333333333298</v>
      </c>
      <c r="D222">
        <v>12</v>
      </c>
      <c r="E222" s="3">
        <f t="shared" si="9"/>
        <v>1.3330327851323236E-3</v>
      </c>
      <c r="F222" t="str">
        <f t="shared" si="10"/>
        <v>Sí</v>
      </c>
    </row>
    <row r="223" spans="1:6" x14ac:dyDescent="0.25">
      <c r="A223">
        <v>20459</v>
      </c>
      <c r="B223">
        <v>2</v>
      </c>
      <c r="C223" s="5">
        <v>20.3148433333333</v>
      </c>
      <c r="D223">
        <v>6</v>
      </c>
      <c r="E223" s="3">
        <f t="shared" si="9"/>
        <v>8.2126450048188773E-3</v>
      </c>
      <c r="F223" t="str">
        <f t="shared" si="10"/>
        <v/>
      </c>
    </row>
    <row r="224" spans="1:6" x14ac:dyDescent="0.25">
      <c r="A224">
        <v>20337</v>
      </c>
      <c r="B224">
        <v>3</v>
      </c>
      <c r="C224" s="5">
        <v>20.294059999999899</v>
      </c>
      <c r="D224">
        <v>12</v>
      </c>
      <c r="E224" s="3">
        <f t="shared" si="9"/>
        <v>6.1277921456955676E-3</v>
      </c>
      <c r="F224" t="str">
        <f t="shared" si="10"/>
        <v>Sí</v>
      </c>
    </row>
    <row r="225" spans="1:6" x14ac:dyDescent="0.25">
      <c r="A225">
        <v>20351</v>
      </c>
      <c r="B225">
        <v>2</v>
      </c>
      <c r="C225" s="5">
        <v>20.243569999999998</v>
      </c>
      <c r="D225">
        <v>9</v>
      </c>
      <c r="E225" s="3">
        <f t="shared" si="9"/>
        <v>8.1838314631453336E-3</v>
      </c>
      <c r="F225" t="str">
        <f t="shared" si="10"/>
        <v/>
      </c>
    </row>
    <row r="226" spans="1:6" x14ac:dyDescent="0.25">
      <c r="A226">
        <v>20361</v>
      </c>
      <c r="B226">
        <v>0</v>
      </c>
      <c r="C226" s="5">
        <v>20.093446666666601</v>
      </c>
      <c r="D226">
        <v>12</v>
      </c>
      <c r="E226" s="3">
        <f t="shared" si="9"/>
        <v>1.3164643837370088E-3</v>
      </c>
      <c r="F226" t="str">
        <f t="shared" si="10"/>
        <v>Sí</v>
      </c>
    </row>
    <row r="227" spans="1:6" x14ac:dyDescent="0.25">
      <c r="A227">
        <v>20226</v>
      </c>
      <c r="B227">
        <v>0</v>
      </c>
      <c r="C227" s="5">
        <v>19.960533333333299</v>
      </c>
      <c r="D227">
        <v>12</v>
      </c>
      <c r="E227" s="3">
        <f t="shared" si="9"/>
        <v>1.307756287392974E-3</v>
      </c>
      <c r="F227" t="str">
        <f t="shared" si="10"/>
        <v>Sí</v>
      </c>
    </row>
    <row r="228" spans="1:6" x14ac:dyDescent="0.25">
      <c r="A228">
        <v>20268</v>
      </c>
      <c r="B228">
        <v>7</v>
      </c>
      <c r="C228" s="5">
        <v>19.730720000000002</v>
      </c>
      <c r="D228">
        <v>12</v>
      </c>
      <c r="E228" s="3">
        <f t="shared" si="9"/>
        <v>2.9783615078843072E-3</v>
      </c>
      <c r="F228" t="str">
        <f t="shared" si="10"/>
        <v>Sí</v>
      </c>
    </row>
    <row r="229" spans="1:6" x14ac:dyDescent="0.25">
      <c r="A229">
        <v>20264</v>
      </c>
      <c r="B229">
        <v>0</v>
      </c>
      <c r="C229" s="5">
        <v>19.6973533333333</v>
      </c>
      <c r="D229">
        <v>12</v>
      </c>
      <c r="E229" s="3">
        <f t="shared" si="9"/>
        <v>1.2905134966334044E-3</v>
      </c>
      <c r="F229" t="str">
        <f t="shared" si="10"/>
        <v>Sí</v>
      </c>
    </row>
    <row r="230" spans="1:6" x14ac:dyDescent="0.25">
      <c r="A230">
        <v>20183</v>
      </c>
      <c r="B230">
        <v>4</v>
      </c>
      <c r="C230" s="5">
        <v>19.583739999999999</v>
      </c>
      <c r="D230">
        <v>12</v>
      </c>
      <c r="E230" s="3">
        <f t="shared" si="9"/>
        <v>0.22654667821214544</v>
      </c>
      <c r="F230" t="str">
        <f t="shared" si="10"/>
        <v/>
      </c>
    </row>
    <row r="231" spans="1:6" x14ac:dyDescent="0.25">
      <c r="A231">
        <v>20580</v>
      </c>
      <c r="B231">
        <v>2</v>
      </c>
      <c r="C231" s="5">
        <v>19.571369999999899</v>
      </c>
      <c r="D231">
        <v>2</v>
      </c>
      <c r="E231" s="3">
        <f t="shared" si="9"/>
        <v>7.9120823838314015E-3</v>
      </c>
      <c r="F231" t="str">
        <f t="shared" si="10"/>
        <v/>
      </c>
    </row>
    <row r="232" spans="1:6" x14ac:dyDescent="0.25">
      <c r="A232">
        <v>20239</v>
      </c>
      <c r="B232">
        <v>0</v>
      </c>
      <c r="C232" s="5">
        <v>19.5159566666666</v>
      </c>
      <c r="D232">
        <v>12</v>
      </c>
      <c r="E232" s="3">
        <f t="shared" si="9"/>
        <v>1.2786289128207389E-3</v>
      </c>
      <c r="F232" t="str">
        <f t="shared" si="10"/>
        <v>Sí</v>
      </c>
    </row>
    <row r="233" spans="1:6" x14ac:dyDescent="0.25">
      <c r="A233">
        <v>20241</v>
      </c>
      <c r="B233">
        <v>0</v>
      </c>
      <c r="C233" s="5">
        <v>19.4788833333333</v>
      </c>
      <c r="D233">
        <v>12</v>
      </c>
      <c r="E233" s="3">
        <f t="shared" si="9"/>
        <v>1.2761999754796571E-3</v>
      </c>
      <c r="F233" t="str">
        <f t="shared" si="10"/>
        <v>Sí</v>
      </c>
    </row>
    <row r="234" spans="1:6" x14ac:dyDescent="0.25">
      <c r="A234">
        <v>20289</v>
      </c>
      <c r="B234">
        <v>0</v>
      </c>
      <c r="C234" s="5">
        <v>19.4755166666666</v>
      </c>
      <c r="D234">
        <v>12</v>
      </c>
      <c r="E234" s="3">
        <f t="shared" si="9"/>
        <v>1.2759794012381072E-3</v>
      </c>
      <c r="F234" t="str">
        <f t="shared" si="10"/>
        <v>Sí</v>
      </c>
    </row>
    <row r="235" spans="1:6" x14ac:dyDescent="0.25">
      <c r="A235">
        <v>20311</v>
      </c>
      <c r="B235">
        <v>0</v>
      </c>
      <c r="C235" s="5">
        <v>19.356306666666601</v>
      </c>
      <c r="D235">
        <v>12</v>
      </c>
      <c r="E235" s="3">
        <f t="shared" si="9"/>
        <v>1.2681691075742715E-3</v>
      </c>
      <c r="F235" t="str">
        <f t="shared" si="10"/>
        <v>Sí</v>
      </c>
    </row>
    <row r="236" spans="1:6" x14ac:dyDescent="0.25">
      <c r="A236">
        <v>20240</v>
      </c>
      <c r="B236">
        <v>7</v>
      </c>
      <c r="C236" s="5">
        <v>19.220993333333301</v>
      </c>
      <c r="D236">
        <v>12</v>
      </c>
      <c r="E236" s="3">
        <f t="shared" si="9"/>
        <v>2.9014180266762075E-3</v>
      </c>
      <c r="F236" t="str">
        <f t="shared" si="10"/>
        <v>Sí</v>
      </c>
    </row>
    <row r="237" spans="1:6" x14ac:dyDescent="0.25">
      <c r="A237">
        <v>20253</v>
      </c>
      <c r="B237">
        <v>0</v>
      </c>
      <c r="C237" s="5">
        <v>18.72551</v>
      </c>
      <c r="D237">
        <v>12</v>
      </c>
      <c r="E237" s="3">
        <f t="shared" si="9"/>
        <v>1.2268411383700528E-3</v>
      </c>
      <c r="F237" t="str">
        <f t="shared" si="10"/>
        <v>Sí</v>
      </c>
    </row>
    <row r="238" spans="1:6" x14ac:dyDescent="0.25">
      <c r="A238">
        <v>20275</v>
      </c>
      <c r="B238">
        <v>7</v>
      </c>
      <c r="C238" s="5">
        <v>18.703766666666599</v>
      </c>
      <c r="D238">
        <v>12</v>
      </c>
      <c r="E238" s="3">
        <f t="shared" si="9"/>
        <v>2.823342416923932E-3</v>
      </c>
      <c r="F238" t="str">
        <f t="shared" si="10"/>
        <v>Sí</v>
      </c>
    </row>
    <row r="239" spans="1:6" x14ac:dyDescent="0.25">
      <c r="A239">
        <v>20282</v>
      </c>
      <c r="B239">
        <v>0</v>
      </c>
      <c r="C239" s="5">
        <v>18.639939999999999</v>
      </c>
      <c r="D239">
        <v>12</v>
      </c>
      <c r="E239" s="3">
        <f t="shared" si="9"/>
        <v>1.2212348399989897E-3</v>
      </c>
      <c r="F239" t="str">
        <f t="shared" si="10"/>
        <v>Sí</v>
      </c>
    </row>
    <row r="240" spans="1:6" x14ac:dyDescent="0.25">
      <c r="A240">
        <v>20307</v>
      </c>
      <c r="B240">
        <v>0</v>
      </c>
      <c r="C240" s="5">
        <v>18.469799999999999</v>
      </c>
      <c r="D240">
        <v>12</v>
      </c>
      <c r="E240" s="3">
        <f t="shared" si="9"/>
        <v>1.2100877603583135E-3</v>
      </c>
      <c r="F240" t="str">
        <f t="shared" si="10"/>
        <v>Sí</v>
      </c>
    </row>
    <row r="241" spans="1:6" x14ac:dyDescent="0.25">
      <c r="A241">
        <v>20288</v>
      </c>
      <c r="B241">
        <v>7</v>
      </c>
      <c r="C241" s="5">
        <v>18.460239999999999</v>
      </c>
      <c r="D241">
        <v>12</v>
      </c>
      <c r="E241" s="3">
        <f t="shared" si="9"/>
        <v>2.7865819515104462E-3</v>
      </c>
      <c r="F241" t="str">
        <f t="shared" si="10"/>
        <v>Sí</v>
      </c>
    </row>
    <row r="242" spans="1:6" x14ac:dyDescent="0.25">
      <c r="A242">
        <v>20526</v>
      </c>
      <c r="B242" t="s">
        <v>21</v>
      </c>
      <c r="C242" s="5">
        <v>18.4246566666666</v>
      </c>
      <c r="D242">
        <v>0</v>
      </c>
      <c r="E242" s="3">
        <f t="shared" si="9"/>
        <v>7.9990444093296555E-3</v>
      </c>
      <c r="F242" t="str">
        <f t="shared" si="10"/>
        <v/>
      </c>
    </row>
    <row r="243" spans="1:6" x14ac:dyDescent="0.25">
      <c r="A243">
        <v>20352</v>
      </c>
      <c r="B243">
        <v>0</v>
      </c>
      <c r="C243" s="5">
        <v>18.337266666666601</v>
      </c>
      <c r="D243">
        <v>12</v>
      </c>
      <c r="E243" s="3">
        <f t="shared" si="9"/>
        <v>1.2014045605128233E-3</v>
      </c>
      <c r="F243" t="str">
        <f t="shared" si="10"/>
        <v>Sí</v>
      </c>
    </row>
    <row r="244" spans="1:6" x14ac:dyDescent="0.25">
      <c r="A244">
        <v>20525</v>
      </c>
      <c r="B244" t="s">
        <v>21</v>
      </c>
      <c r="C244" s="5">
        <v>18.329750000000001</v>
      </c>
      <c r="D244">
        <v>0</v>
      </c>
      <c r="E244" s="3">
        <f t="shared" si="9"/>
        <v>7.9578407844729162E-3</v>
      </c>
      <c r="F244" t="str">
        <f t="shared" si="10"/>
        <v/>
      </c>
    </row>
    <row r="245" spans="1:6" x14ac:dyDescent="0.25">
      <c r="A245">
        <v>20314</v>
      </c>
      <c r="B245">
        <v>0</v>
      </c>
      <c r="C245" s="5">
        <v>18.072036666666602</v>
      </c>
      <c r="D245">
        <v>12</v>
      </c>
      <c r="E245" s="3">
        <f t="shared" si="9"/>
        <v>1.1840274596952814E-3</v>
      </c>
      <c r="F245" t="str">
        <f t="shared" si="10"/>
        <v>Sí</v>
      </c>
    </row>
    <row r="246" spans="1:6" x14ac:dyDescent="0.25">
      <c r="A246">
        <v>20300</v>
      </c>
      <c r="B246">
        <v>0</v>
      </c>
      <c r="C246" s="5">
        <v>18.02619</v>
      </c>
      <c r="D246">
        <v>12</v>
      </c>
      <c r="E246" s="3">
        <f t="shared" si="9"/>
        <v>1.1810237189841485E-3</v>
      </c>
      <c r="F246" t="str">
        <f t="shared" si="10"/>
        <v>Sí</v>
      </c>
    </row>
    <row r="247" spans="1:6" x14ac:dyDescent="0.25">
      <c r="A247">
        <v>20368</v>
      </c>
      <c r="B247">
        <v>2</v>
      </c>
      <c r="C247" s="5">
        <v>17.965786666666599</v>
      </c>
      <c r="D247">
        <v>9</v>
      </c>
      <c r="E247" s="3">
        <f t="shared" si="9"/>
        <v>7.2629961110032984E-3</v>
      </c>
      <c r="F247" t="str">
        <f t="shared" si="10"/>
        <v/>
      </c>
    </row>
    <row r="248" spans="1:6" x14ac:dyDescent="0.25">
      <c r="A248">
        <v>20273</v>
      </c>
      <c r="B248">
        <v>4</v>
      </c>
      <c r="C248" s="5">
        <v>17.940629999999999</v>
      </c>
      <c r="D248">
        <v>12</v>
      </c>
      <c r="E248" s="3">
        <f t="shared" si="9"/>
        <v>0.20753901611914594</v>
      </c>
      <c r="F248" t="str">
        <f t="shared" si="10"/>
        <v/>
      </c>
    </row>
    <row r="249" spans="1:6" x14ac:dyDescent="0.25">
      <c r="A249">
        <v>20270</v>
      </c>
      <c r="B249">
        <v>4</v>
      </c>
      <c r="C249" s="5">
        <v>17.795249999999999</v>
      </c>
      <c r="D249">
        <v>12</v>
      </c>
      <c r="E249" s="3">
        <f t="shared" si="9"/>
        <v>0.2058572456259469</v>
      </c>
      <c r="F249" t="str">
        <f t="shared" si="10"/>
        <v/>
      </c>
    </row>
    <row r="250" spans="1:6" x14ac:dyDescent="0.25">
      <c r="A250">
        <v>20296</v>
      </c>
      <c r="B250">
        <v>0</v>
      </c>
      <c r="C250" s="5">
        <v>17.758893333333301</v>
      </c>
      <c r="D250">
        <v>12</v>
      </c>
      <c r="E250" s="3">
        <f t="shared" si="9"/>
        <v>1.1635112161569414E-3</v>
      </c>
      <c r="F250" t="str">
        <f t="shared" si="10"/>
        <v>Sí</v>
      </c>
    </row>
    <row r="251" spans="1:6" x14ac:dyDescent="0.25">
      <c r="A251">
        <v>20298</v>
      </c>
      <c r="B251">
        <v>5</v>
      </c>
      <c r="C251" s="5">
        <v>17.671233333333301</v>
      </c>
      <c r="D251">
        <v>12</v>
      </c>
      <c r="E251" s="3">
        <f t="shared" si="9"/>
        <v>7.7080631967633276E-2</v>
      </c>
      <c r="F251" t="str">
        <f t="shared" si="10"/>
        <v/>
      </c>
    </row>
    <row r="252" spans="1:6" x14ac:dyDescent="0.25">
      <c r="A252">
        <v>20207</v>
      </c>
      <c r="B252">
        <v>0</v>
      </c>
      <c r="C252" s="5">
        <v>17.6452733333333</v>
      </c>
      <c r="D252">
        <v>12</v>
      </c>
      <c r="E252" s="3">
        <f t="shared" si="9"/>
        <v>1.1560671630902102E-3</v>
      </c>
      <c r="F252" t="str">
        <f t="shared" si="10"/>
        <v>Sí</v>
      </c>
    </row>
    <row r="253" spans="1:6" x14ac:dyDescent="0.25">
      <c r="A253">
        <v>20272</v>
      </c>
      <c r="B253">
        <v>0</v>
      </c>
      <c r="C253" s="5">
        <v>17.578046666666602</v>
      </c>
      <c r="D253">
        <v>12</v>
      </c>
      <c r="E253" s="3">
        <f t="shared" si="9"/>
        <v>1.1516626667500735E-3</v>
      </c>
    </row>
    <row r="254" spans="1:6" x14ac:dyDescent="0.25">
      <c r="A254">
        <v>20326</v>
      </c>
      <c r="B254">
        <v>0</v>
      </c>
      <c r="C254" s="5">
        <v>17.2066466666666</v>
      </c>
      <c r="D254">
        <v>12</v>
      </c>
      <c r="E254" s="3">
        <f t="shared" si="9"/>
        <v>1.1273296152716015E-3</v>
      </c>
    </row>
    <row r="255" spans="1:6" x14ac:dyDescent="0.25">
      <c r="A255">
        <v>20381</v>
      </c>
      <c r="B255">
        <v>0</v>
      </c>
      <c r="C255" s="5">
        <v>17.20635</v>
      </c>
      <c r="D255">
        <v>12</v>
      </c>
      <c r="E255" s="3">
        <f t="shared" si="9"/>
        <v>1.1273101785315091E-3</v>
      </c>
    </row>
    <row r="256" spans="1:6" x14ac:dyDescent="0.25">
      <c r="A256">
        <v>20280</v>
      </c>
      <c r="B256">
        <v>0</v>
      </c>
      <c r="C256" s="5">
        <v>17.007936666666598</v>
      </c>
      <c r="D256">
        <v>12</v>
      </c>
      <c r="E256" s="3">
        <f t="shared" si="9"/>
        <v>1.1143107120425032E-3</v>
      </c>
    </row>
    <row r="257" spans="1:6" x14ac:dyDescent="0.25">
      <c r="A257">
        <v>20299</v>
      </c>
      <c r="B257">
        <v>7</v>
      </c>
      <c r="C257" s="5">
        <v>16.926909999999999</v>
      </c>
      <c r="D257">
        <v>12</v>
      </c>
      <c r="E257" s="3">
        <f t="shared" si="9"/>
        <v>2.5551250634250522E-3</v>
      </c>
      <c r="F257" t="str">
        <f t="shared" si="10"/>
        <v>Sí</v>
      </c>
    </row>
    <row r="258" spans="1:6" x14ac:dyDescent="0.25">
      <c r="A258">
        <v>20334</v>
      </c>
      <c r="B258">
        <v>7</v>
      </c>
      <c r="C258" s="5">
        <v>16.8779133333333</v>
      </c>
      <c r="D258">
        <v>12</v>
      </c>
      <c r="E258" s="3">
        <f t="shared" si="9"/>
        <v>2.5477289934380102E-3</v>
      </c>
      <c r="F258" t="str">
        <f t="shared" si="10"/>
        <v>Sí</v>
      </c>
    </row>
    <row r="259" spans="1:6" x14ac:dyDescent="0.25">
      <c r="A259">
        <v>20537</v>
      </c>
      <c r="B259" t="s">
        <v>21</v>
      </c>
      <c r="C259" s="5">
        <v>16.870753333333301</v>
      </c>
      <c r="D259">
        <v>0</v>
      </c>
      <c r="E259" s="3">
        <f t="shared" ref="E259:E322" si="11">$C259/SUMIF($B$2:$B$781,B259,$C$2:$C$781)</f>
        <v>7.3244189877539039E-3</v>
      </c>
      <c r="F259" t="str">
        <f t="shared" ref="F259:F322" si="12">IF(AND(OR(B259=0,B259=3,B259=7),D259=12),"Sí","")</f>
        <v/>
      </c>
    </row>
    <row r="260" spans="1:6" x14ac:dyDescent="0.25">
      <c r="A260">
        <v>20216</v>
      </c>
      <c r="B260">
        <v>0</v>
      </c>
      <c r="C260" s="5">
        <v>16.842296666666599</v>
      </c>
      <c r="D260">
        <v>12</v>
      </c>
      <c r="E260" s="3">
        <f t="shared" si="11"/>
        <v>1.1034584593583511E-3</v>
      </c>
    </row>
    <row r="261" spans="1:6" x14ac:dyDescent="0.25">
      <c r="A261">
        <v>20252</v>
      </c>
      <c r="B261">
        <v>0</v>
      </c>
      <c r="C261" s="5">
        <v>16.8156833333333</v>
      </c>
      <c r="D261">
        <v>12</v>
      </c>
      <c r="E261" s="3">
        <f t="shared" si="11"/>
        <v>1.1017148308984349E-3</v>
      </c>
    </row>
    <row r="262" spans="1:6" x14ac:dyDescent="0.25">
      <c r="A262">
        <v>20284</v>
      </c>
      <c r="B262">
        <v>7</v>
      </c>
      <c r="C262" s="5">
        <v>16.69595</v>
      </c>
      <c r="D262">
        <v>12</v>
      </c>
      <c r="E262" s="3">
        <f t="shared" si="11"/>
        <v>2.5202615422833525E-3</v>
      </c>
      <c r="F262" t="str">
        <f t="shared" si="12"/>
        <v>Sí</v>
      </c>
    </row>
    <row r="263" spans="1:6" x14ac:dyDescent="0.25">
      <c r="A263">
        <v>20309</v>
      </c>
      <c r="B263">
        <v>0</v>
      </c>
      <c r="C263" s="5">
        <v>16.57761</v>
      </c>
      <c r="D263">
        <v>12</v>
      </c>
      <c r="E263" s="3">
        <f t="shared" si="11"/>
        <v>1.0861169561659347E-3</v>
      </c>
    </row>
    <row r="264" spans="1:6" x14ac:dyDescent="0.25">
      <c r="A264">
        <v>20548</v>
      </c>
      <c r="B264" t="s">
        <v>21</v>
      </c>
      <c r="C264" s="5">
        <v>16.538879999999999</v>
      </c>
      <c r="D264">
        <v>0</v>
      </c>
      <c r="E264" s="3">
        <f t="shared" si="11"/>
        <v>7.1803365454249733E-3</v>
      </c>
      <c r="F264" t="str">
        <f t="shared" si="12"/>
        <v/>
      </c>
    </row>
    <row r="265" spans="1:6" x14ac:dyDescent="0.25">
      <c r="A265">
        <v>20348</v>
      </c>
      <c r="B265">
        <v>0</v>
      </c>
      <c r="C265" s="5">
        <v>16.436450000000001</v>
      </c>
      <c r="D265">
        <v>12</v>
      </c>
      <c r="E265" s="3">
        <f t="shared" si="11"/>
        <v>1.0768685621252749E-3</v>
      </c>
    </row>
    <row r="266" spans="1:6" x14ac:dyDescent="0.25">
      <c r="A266">
        <v>20295</v>
      </c>
      <c r="B266">
        <v>0</v>
      </c>
      <c r="C266" s="5">
        <v>16.237639999999999</v>
      </c>
      <c r="D266">
        <v>12</v>
      </c>
      <c r="E266" s="3">
        <f t="shared" si="11"/>
        <v>1.0638431071860314E-3</v>
      </c>
    </row>
    <row r="267" spans="1:6" x14ac:dyDescent="0.25">
      <c r="A267">
        <v>20291</v>
      </c>
      <c r="B267">
        <v>0</v>
      </c>
      <c r="C267" s="5">
        <v>16.236046666666599</v>
      </c>
      <c r="D267">
        <v>12</v>
      </c>
      <c r="E267" s="3">
        <f t="shared" si="11"/>
        <v>1.0637387166043837E-3</v>
      </c>
    </row>
    <row r="268" spans="1:6" x14ac:dyDescent="0.25">
      <c r="A268">
        <v>20315</v>
      </c>
      <c r="B268">
        <v>5</v>
      </c>
      <c r="C268" s="5">
        <v>16.187339999999999</v>
      </c>
      <c r="D268">
        <v>12</v>
      </c>
      <c r="E268" s="3">
        <f t="shared" si="11"/>
        <v>7.0607997389822874E-2</v>
      </c>
      <c r="F268" t="str">
        <f t="shared" si="12"/>
        <v/>
      </c>
    </row>
    <row r="269" spans="1:6" x14ac:dyDescent="0.25">
      <c r="A269">
        <v>20277</v>
      </c>
      <c r="B269">
        <v>5</v>
      </c>
      <c r="C269" s="5">
        <v>16.0397</v>
      </c>
      <c r="D269">
        <v>12</v>
      </c>
      <c r="E269" s="3">
        <f t="shared" si="11"/>
        <v>6.9964002469432407E-2</v>
      </c>
      <c r="F269" t="str">
        <f t="shared" si="12"/>
        <v/>
      </c>
    </row>
    <row r="270" spans="1:6" x14ac:dyDescent="0.25">
      <c r="A270">
        <v>20301</v>
      </c>
      <c r="B270">
        <v>0</v>
      </c>
      <c r="C270" s="5">
        <v>15.90394</v>
      </c>
      <c r="D270">
        <v>12</v>
      </c>
      <c r="E270" s="3">
        <f t="shared" si="11"/>
        <v>1.0419800504322188E-3</v>
      </c>
    </row>
    <row r="271" spans="1:6" x14ac:dyDescent="0.25">
      <c r="A271">
        <v>20402</v>
      </c>
      <c r="B271">
        <v>5</v>
      </c>
      <c r="C271" s="5">
        <v>15.870013333333301</v>
      </c>
      <c r="D271">
        <v>12</v>
      </c>
      <c r="E271" s="3">
        <f t="shared" si="11"/>
        <v>6.9223841595744073E-2</v>
      </c>
      <c r="F271" t="str">
        <f t="shared" si="12"/>
        <v/>
      </c>
    </row>
    <row r="272" spans="1:6" x14ac:dyDescent="0.25">
      <c r="A272">
        <v>20310</v>
      </c>
      <c r="B272">
        <v>0</v>
      </c>
      <c r="C272" s="5">
        <v>15.841003333333299</v>
      </c>
      <c r="D272">
        <v>12</v>
      </c>
      <c r="E272" s="3">
        <f t="shared" si="11"/>
        <v>1.0378566224573016E-3</v>
      </c>
    </row>
    <row r="273" spans="1:6" x14ac:dyDescent="0.25">
      <c r="A273">
        <v>20344</v>
      </c>
      <c r="B273">
        <v>0</v>
      </c>
      <c r="C273" s="5">
        <v>15.7732999999999</v>
      </c>
      <c r="D273">
        <v>12</v>
      </c>
      <c r="E273" s="3">
        <f t="shared" si="11"/>
        <v>1.0334208962988047E-3</v>
      </c>
    </row>
    <row r="274" spans="1:6" x14ac:dyDescent="0.25">
      <c r="A274">
        <v>20330</v>
      </c>
      <c r="B274">
        <v>0</v>
      </c>
      <c r="C274" s="5">
        <v>15.63621</v>
      </c>
      <c r="D274">
        <v>12</v>
      </c>
      <c r="E274" s="3">
        <f t="shared" si="11"/>
        <v>1.0244391568610524E-3</v>
      </c>
    </row>
    <row r="275" spans="1:6" x14ac:dyDescent="0.25">
      <c r="A275">
        <v>20292</v>
      </c>
      <c r="B275">
        <v>0</v>
      </c>
      <c r="C275" s="5">
        <v>15.5622266666666</v>
      </c>
      <c r="D275">
        <v>12</v>
      </c>
      <c r="E275" s="3">
        <f t="shared" si="11"/>
        <v>1.0195919833054503E-3</v>
      </c>
    </row>
    <row r="276" spans="1:6" x14ac:dyDescent="0.25">
      <c r="A276">
        <v>20259</v>
      </c>
      <c r="B276">
        <v>0</v>
      </c>
      <c r="C276" s="5">
        <v>15.5361466666666</v>
      </c>
      <c r="D276">
        <v>12</v>
      </c>
      <c r="E276" s="3">
        <f t="shared" si="11"/>
        <v>1.0178832972996385E-3</v>
      </c>
    </row>
    <row r="277" spans="1:6" x14ac:dyDescent="0.25">
      <c r="A277">
        <v>20342</v>
      </c>
      <c r="B277">
        <v>0</v>
      </c>
      <c r="C277" s="5">
        <v>15.45337</v>
      </c>
      <c r="D277">
        <v>12</v>
      </c>
      <c r="E277" s="3">
        <f t="shared" si="11"/>
        <v>1.0124600100319631E-3</v>
      </c>
    </row>
    <row r="278" spans="1:6" x14ac:dyDescent="0.25">
      <c r="A278">
        <v>20495</v>
      </c>
      <c r="B278">
        <v>2</v>
      </c>
      <c r="C278" s="5">
        <v>15.40443</v>
      </c>
      <c r="D278">
        <v>4</v>
      </c>
      <c r="E278" s="3">
        <f t="shared" si="11"/>
        <v>6.2275210798204009E-3</v>
      </c>
      <c r="F278" t="str">
        <f t="shared" si="12"/>
        <v/>
      </c>
    </row>
    <row r="279" spans="1:6" x14ac:dyDescent="0.25">
      <c r="A279">
        <v>20521</v>
      </c>
      <c r="B279" t="s">
        <v>21</v>
      </c>
      <c r="C279" s="5">
        <v>15.3406166666666</v>
      </c>
      <c r="D279">
        <v>0</v>
      </c>
      <c r="E279" s="3">
        <f t="shared" si="11"/>
        <v>6.6601118383482812E-3</v>
      </c>
      <c r="F279" t="str">
        <f t="shared" si="12"/>
        <v/>
      </c>
    </row>
    <row r="280" spans="1:6" x14ac:dyDescent="0.25">
      <c r="A280">
        <v>20577</v>
      </c>
      <c r="B280" t="s">
        <v>21</v>
      </c>
      <c r="C280" s="5">
        <v>15.2038366666666</v>
      </c>
      <c r="D280">
        <v>0</v>
      </c>
      <c r="E280" s="3">
        <f t="shared" si="11"/>
        <v>6.6007289519204688E-3</v>
      </c>
      <c r="F280" t="str">
        <f t="shared" si="12"/>
        <v/>
      </c>
    </row>
    <row r="281" spans="1:6" x14ac:dyDescent="0.25">
      <c r="A281">
        <v>20320</v>
      </c>
      <c r="B281">
        <v>0</v>
      </c>
      <c r="C281" s="5">
        <v>15.193449999999901</v>
      </c>
      <c r="D281">
        <v>12</v>
      </c>
      <c r="E281" s="3">
        <f t="shared" si="11"/>
        <v>9.9543080502311333E-4</v>
      </c>
    </row>
    <row r="282" spans="1:6" x14ac:dyDescent="0.25">
      <c r="A282">
        <v>20343</v>
      </c>
      <c r="B282">
        <v>7</v>
      </c>
      <c r="C282" s="5">
        <v>15.174826666666601</v>
      </c>
      <c r="D282">
        <v>12</v>
      </c>
      <c r="E282" s="3">
        <f t="shared" si="11"/>
        <v>2.2906472562996246E-3</v>
      </c>
      <c r="F282" t="str">
        <f t="shared" si="12"/>
        <v>Sí</v>
      </c>
    </row>
    <row r="283" spans="1:6" x14ac:dyDescent="0.25">
      <c r="A283">
        <v>20317</v>
      </c>
      <c r="B283">
        <v>0</v>
      </c>
      <c r="C283" s="5">
        <v>15.102566666666601</v>
      </c>
      <c r="D283">
        <v>12</v>
      </c>
      <c r="E283" s="3">
        <f t="shared" si="11"/>
        <v>9.894763924530156E-4</v>
      </c>
    </row>
    <row r="284" spans="1:6" x14ac:dyDescent="0.25">
      <c r="A284">
        <v>20575</v>
      </c>
      <c r="B284" t="s">
        <v>21</v>
      </c>
      <c r="C284" s="5">
        <v>15.0437833333333</v>
      </c>
      <c r="D284">
        <v>0</v>
      </c>
      <c r="E284" s="3">
        <f t="shared" si="11"/>
        <v>6.531241973446099E-3</v>
      </c>
      <c r="F284" t="str">
        <f t="shared" si="12"/>
        <v/>
      </c>
    </row>
    <row r="285" spans="1:6" x14ac:dyDescent="0.25">
      <c r="A285">
        <v>20380</v>
      </c>
      <c r="B285">
        <v>0</v>
      </c>
      <c r="C285" s="5">
        <v>15.031796666666599</v>
      </c>
      <c r="D285">
        <v>12</v>
      </c>
      <c r="E285" s="3">
        <f t="shared" si="11"/>
        <v>9.8483974718341014E-4</v>
      </c>
    </row>
    <row r="286" spans="1:6" x14ac:dyDescent="0.25">
      <c r="A286">
        <v>20324</v>
      </c>
      <c r="B286">
        <v>7</v>
      </c>
      <c r="C286" s="5">
        <v>15.009733333333299</v>
      </c>
      <c r="D286">
        <v>12</v>
      </c>
      <c r="E286" s="3">
        <f t="shared" si="11"/>
        <v>2.2657263396169986E-3</v>
      </c>
      <c r="F286" t="str">
        <f t="shared" si="12"/>
        <v>Sí</v>
      </c>
    </row>
    <row r="287" spans="1:6" x14ac:dyDescent="0.25">
      <c r="A287">
        <v>20354</v>
      </c>
      <c r="B287">
        <v>0</v>
      </c>
      <c r="C287" s="5">
        <v>15.0076966666666</v>
      </c>
      <c r="D287">
        <v>12</v>
      </c>
      <c r="E287" s="3">
        <f t="shared" si="11"/>
        <v>9.8326078503846882E-4</v>
      </c>
    </row>
    <row r="288" spans="1:6" x14ac:dyDescent="0.25">
      <c r="A288">
        <v>20356</v>
      </c>
      <c r="B288">
        <v>0</v>
      </c>
      <c r="C288" s="5">
        <v>14.94023</v>
      </c>
      <c r="D288">
        <v>12</v>
      </c>
      <c r="E288" s="3">
        <f t="shared" si="11"/>
        <v>9.788405645939904E-4</v>
      </c>
    </row>
    <row r="289" spans="1:6" x14ac:dyDescent="0.25">
      <c r="A289">
        <v>20531</v>
      </c>
      <c r="B289" t="s">
        <v>21</v>
      </c>
      <c r="C289" s="5">
        <v>14.883620000000001</v>
      </c>
      <c r="D289">
        <v>0</v>
      </c>
      <c r="E289" s="3">
        <f t="shared" si="11"/>
        <v>6.4617072385928214E-3</v>
      </c>
      <c r="F289" t="str">
        <f t="shared" si="12"/>
        <v/>
      </c>
    </row>
    <row r="290" spans="1:6" x14ac:dyDescent="0.25">
      <c r="A290">
        <v>20615</v>
      </c>
      <c r="B290" t="s">
        <v>21</v>
      </c>
      <c r="C290" s="5">
        <v>14.781180000000001</v>
      </c>
      <c r="D290">
        <v>0</v>
      </c>
      <c r="E290" s="3">
        <f t="shared" si="11"/>
        <v>6.4172330253623412E-3</v>
      </c>
      <c r="F290" t="str">
        <f t="shared" si="12"/>
        <v/>
      </c>
    </row>
    <row r="291" spans="1:6" x14ac:dyDescent="0.25">
      <c r="A291">
        <v>20357</v>
      </c>
      <c r="B291">
        <v>5</v>
      </c>
      <c r="C291" s="5">
        <v>14.777256666666601</v>
      </c>
      <c r="D291">
        <v>12</v>
      </c>
      <c r="E291" s="3">
        <f t="shared" si="11"/>
        <v>6.4457316652936067E-2</v>
      </c>
      <c r="F291" t="str">
        <f t="shared" si="12"/>
        <v/>
      </c>
    </row>
    <row r="292" spans="1:6" x14ac:dyDescent="0.25">
      <c r="A292">
        <v>20460</v>
      </c>
      <c r="B292">
        <v>2</v>
      </c>
      <c r="C292" s="5">
        <v>14.716139999999999</v>
      </c>
      <c r="D292">
        <v>2</v>
      </c>
      <c r="E292" s="3">
        <f t="shared" si="11"/>
        <v>5.9492673252816361E-3</v>
      </c>
      <c r="F292" t="str">
        <f t="shared" si="12"/>
        <v/>
      </c>
    </row>
    <row r="293" spans="1:6" x14ac:dyDescent="0.25">
      <c r="A293">
        <v>20438</v>
      </c>
      <c r="B293">
        <v>0</v>
      </c>
      <c r="C293" s="5">
        <v>14.672980000000001</v>
      </c>
      <c r="D293">
        <v>12</v>
      </c>
      <c r="E293" s="3">
        <f t="shared" si="11"/>
        <v>9.6133111923152E-4</v>
      </c>
    </row>
    <row r="294" spans="1:6" x14ac:dyDescent="0.25">
      <c r="A294">
        <v>20327</v>
      </c>
      <c r="B294">
        <v>0</v>
      </c>
      <c r="C294" s="5">
        <v>14.563603333333299</v>
      </c>
      <c r="D294">
        <v>12</v>
      </c>
      <c r="E294" s="3">
        <f t="shared" si="11"/>
        <v>9.5416507706527201E-4</v>
      </c>
    </row>
    <row r="295" spans="1:6" x14ac:dyDescent="0.25">
      <c r="A295">
        <v>20283</v>
      </c>
      <c r="B295">
        <v>0</v>
      </c>
      <c r="C295" s="5">
        <v>14.4549633333333</v>
      </c>
      <c r="D295">
        <v>12</v>
      </c>
      <c r="E295" s="3">
        <f t="shared" si="11"/>
        <v>9.4704729916376105E-4</v>
      </c>
    </row>
    <row r="296" spans="1:6" x14ac:dyDescent="0.25">
      <c r="A296">
        <v>20433</v>
      </c>
      <c r="B296">
        <v>0</v>
      </c>
      <c r="C296" s="5">
        <v>14.4073733333333</v>
      </c>
      <c r="D296">
        <v>12</v>
      </c>
      <c r="E296" s="3">
        <f t="shared" si="11"/>
        <v>9.439293403057631E-4</v>
      </c>
    </row>
    <row r="297" spans="1:6" x14ac:dyDescent="0.25">
      <c r="A297">
        <v>20547</v>
      </c>
      <c r="B297">
        <v>2</v>
      </c>
      <c r="C297" s="5">
        <v>14.3348466666666</v>
      </c>
      <c r="D297">
        <v>2</v>
      </c>
      <c r="E297" s="3">
        <f t="shared" si="11"/>
        <v>5.7951225584237428E-3</v>
      </c>
      <c r="F297" t="str">
        <f t="shared" si="12"/>
        <v/>
      </c>
    </row>
    <row r="298" spans="1:6" x14ac:dyDescent="0.25">
      <c r="A298">
        <v>20329</v>
      </c>
      <c r="B298">
        <v>0</v>
      </c>
      <c r="C298" s="5">
        <v>14.2563866666666</v>
      </c>
      <c r="D298">
        <v>12</v>
      </c>
      <c r="E298" s="3">
        <f t="shared" si="11"/>
        <v>9.3403713154818725E-4</v>
      </c>
    </row>
    <row r="299" spans="1:6" x14ac:dyDescent="0.25">
      <c r="A299">
        <v>20387</v>
      </c>
      <c r="B299">
        <v>0</v>
      </c>
      <c r="C299" s="5">
        <v>14.242336666666599</v>
      </c>
      <c r="D299">
        <v>12</v>
      </c>
      <c r="E299" s="3">
        <f t="shared" si="11"/>
        <v>9.3311661627281685E-4</v>
      </c>
    </row>
    <row r="300" spans="1:6" x14ac:dyDescent="0.25">
      <c r="A300">
        <v>20491</v>
      </c>
      <c r="B300" t="s">
        <v>21</v>
      </c>
      <c r="C300" s="5">
        <v>14.22443</v>
      </c>
      <c r="D300">
        <v>0</v>
      </c>
      <c r="E300" s="3">
        <f t="shared" si="11"/>
        <v>6.1755206257521284E-3</v>
      </c>
      <c r="F300" t="str">
        <f t="shared" si="12"/>
        <v/>
      </c>
    </row>
    <row r="301" spans="1:6" x14ac:dyDescent="0.25">
      <c r="A301">
        <v>20349</v>
      </c>
      <c r="B301">
        <v>0</v>
      </c>
      <c r="C301" s="5">
        <v>14.0977433333333</v>
      </c>
      <c r="D301">
        <v>12</v>
      </c>
      <c r="E301" s="3">
        <f t="shared" si="11"/>
        <v>9.2364328018384805E-4</v>
      </c>
    </row>
    <row r="302" spans="1:6" x14ac:dyDescent="0.25">
      <c r="A302">
        <v>20336</v>
      </c>
      <c r="B302">
        <v>0</v>
      </c>
      <c r="C302" s="5">
        <v>14.0511466666666</v>
      </c>
      <c r="D302">
        <v>12</v>
      </c>
      <c r="E302" s="3">
        <f t="shared" si="11"/>
        <v>9.2059040164662145E-4</v>
      </c>
    </row>
    <row r="303" spans="1:6" x14ac:dyDescent="0.25">
      <c r="A303">
        <v>20522</v>
      </c>
      <c r="B303">
        <v>7</v>
      </c>
      <c r="C303" s="5">
        <v>13.9101966666666</v>
      </c>
      <c r="D303">
        <v>6</v>
      </c>
      <c r="E303" s="3">
        <f t="shared" si="11"/>
        <v>2.0997507601902207E-3</v>
      </c>
      <c r="F303" t="str">
        <f t="shared" si="12"/>
        <v/>
      </c>
    </row>
    <row r="304" spans="1:6" x14ac:dyDescent="0.25">
      <c r="A304">
        <v>20365</v>
      </c>
      <c r="B304">
        <v>0</v>
      </c>
      <c r="C304" s="5">
        <v>13.857900000000001</v>
      </c>
      <c r="D304">
        <v>12</v>
      </c>
      <c r="E304" s="3">
        <f t="shared" si="11"/>
        <v>9.0792944018178179E-4</v>
      </c>
    </row>
    <row r="305" spans="1:6" x14ac:dyDescent="0.25">
      <c r="A305">
        <v>20623</v>
      </c>
      <c r="B305" t="s">
        <v>21</v>
      </c>
      <c r="C305" s="5">
        <v>13.7134466666666</v>
      </c>
      <c r="D305">
        <v>0</v>
      </c>
      <c r="E305" s="3">
        <f t="shared" si="11"/>
        <v>5.9536777740936799E-3</v>
      </c>
      <c r="F305" t="str">
        <f t="shared" si="12"/>
        <v/>
      </c>
    </row>
    <row r="306" spans="1:6" x14ac:dyDescent="0.25">
      <c r="A306">
        <v>20269</v>
      </c>
      <c r="B306">
        <v>0</v>
      </c>
      <c r="C306" s="5">
        <v>13.6042666666666</v>
      </c>
      <c r="D306">
        <v>12</v>
      </c>
      <c r="E306" s="3">
        <f t="shared" si="11"/>
        <v>8.9131211935071552E-4</v>
      </c>
    </row>
    <row r="307" spans="1:6" x14ac:dyDescent="0.25">
      <c r="A307">
        <v>20359</v>
      </c>
      <c r="B307">
        <v>5</v>
      </c>
      <c r="C307" s="5">
        <v>13.560749999999899</v>
      </c>
      <c r="D307">
        <v>12</v>
      </c>
      <c r="E307" s="3">
        <f t="shared" si="11"/>
        <v>5.9151003228698068E-2</v>
      </c>
      <c r="F307" t="str">
        <f t="shared" si="12"/>
        <v/>
      </c>
    </row>
    <row r="308" spans="1:6" x14ac:dyDescent="0.25">
      <c r="A308">
        <v>20403</v>
      </c>
      <c r="B308">
        <v>0</v>
      </c>
      <c r="C308" s="5">
        <v>13.542536666666599</v>
      </c>
      <c r="D308">
        <v>12</v>
      </c>
      <c r="E308" s="3">
        <f t="shared" si="11"/>
        <v>8.872677486782166E-4</v>
      </c>
    </row>
    <row r="309" spans="1:6" x14ac:dyDescent="0.25">
      <c r="A309">
        <v>20338</v>
      </c>
      <c r="B309">
        <v>0</v>
      </c>
      <c r="C309" s="5">
        <v>13.529589999999899</v>
      </c>
      <c r="D309">
        <v>12</v>
      </c>
      <c r="E309" s="3">
        <f t="shared" si="11"/>
        <v>8.8641952060477711E-4</v>
      </c>
    </row>
    <row r="310" spans="1:6" x14ac:dyDescent="0.25">
      <c r="A310">
        <v>20346</v>
      </c>
      <c r="B310">
        <v>0</v>
      </c>
      <c r="C310" s="5">
        <v>13.438856666666601</v>
      </c>
      <c r="D310">
        <v>12</v>
      </c>
      <c r="E310" s="3">
        <f t="shared" si="11"/>
        <v>8.8047493559989694E-4</v>
      </c>
    </row>
    <row r="311" spans="1:6" x14ac:dyDescent="0.25">
      <c r="A311">
        <v>20621</v>
      </c>
      <c r="B311" t="s">
        <v>21</v>
      </c>
      <c r="C311" s="5">
        <v>13.2859933333333</v>
      </c>
      <c r="D311">
        <v>0</v>
      </c>
      <c r="E311" s="3">
        <f t="shared" si="11"/>
        <v>5.7680993799825416E-3</v>
      </c>
      <c r="F311" t="str">
        <f t="shared" si="12"/>
        <v/>
      </c>
    </row>
    <row r="312" spans="1:6" x14ac:dyDescent="0.25">
      <c r="A312">
        <v>20523</v>
      </c>
      <c r="B312">
        <v>2</v>
      </c>
      <c r="C312" s="5">
        <v>13.072983333333299</v>
      </c>
      <c r="D312">
        <v>4</v>
      </c>
      <c r="E312" s="3">
        <f t="shared" si="11"/>
        <v>5.2849913488830086E-3</v>
      </c>
      <c r="F312" t="str">
        <f t="shared" si="12"/>
        <v/>
      </c>
    </row>
    <row r="313" spans="1:6" x14ac:dyDescent="0.25">
      <c r="A313">
        <v>20332</v>
      </c>
      <c r="B313">
        <v>0</v>
      </c>
      <c r="C313" s="5">
        <v>13.002319999999999</v>
      </c>
      <c r="D313">
        <v>12</v>
      </c>
      <c r="E313" s="3">
        <f t="shared" si="11"/>
        <v>8.5187431852332487E-4</v>
      </c>
    </row>
    <row r="314" spans="1:6" x14ac:dyDescent="0.25">
      <c r="A314">
        <v>20603</v>
      </c>
      <c r="B314" t="s">
        <v>21</v>
      </c>
      <c r="C314" s="5">
        <v>12.9339366666666</v>
      </c>
      <c r="D314">
        <v>0</v>
      </c>
      <c r="E314" s="3">
        <f t="shared" si="11"/>
        <v>5.6152543657054322E-3</v>
      </c>
      <c r="F314" t="str">
        <f t="shared" si="12"/>
        <v/>
      </c>
    </row>
    <row r="315" spans="1:6" x14ac:dyDescent="0.25">
      <c r="A315">
        <v>20592</v>
      </c>
      <c r="B315" t="s">
        <v>21</v>
      </c>
      <c r="C315" s="5">
        <v>12.9023066666666</v>
      </c>
      <c r="D315">
        <v>0</v>
      </c>
      <c r="E315" s="3">
        <f t="shared" si="11"/>
        <v>5.6015222360248371E-3</v>
      </c>
      <c r="F315" t="str">
        <f t="shared" si="12"/>
        <v/>
      </c>
    </row>
    <row r="316" spans="1:6" x14ac:dyDescent="0.25">
      <c r="A316">
        <v>20527</v>
      </c>
      <c r="B316">
        <v>2</v>
      </c>
      <c r="C316" s="5">
        <v>12.79829</v>
      </c>
      <c r="D316">
        <v>4</v>
      </c>
      <c r="E316" s="3">
        <f t="shared" si="11"/>
        <v>5.1739415713956726E-3</v>
      </c>
      <c r="F316" t="str">
        <f t="shared" si="12"/>
        <v/>
      </c>
    </row>
    <row r="317" spans="1:6" x14ac:dyDescent="0.25">
      <c r="A317">
        <v>20319</v>
      </c>
      <c r="B317">
        <v>0</v>
      </c>
      <c r="C317" s="5">
        <v>12.7949966666666</v>
      </c>
      <c r="D317">
        <v>12</v>
      </c>
      <c r="E317" s="3">
        <f t="shared" si="11"/>
        <v>8.3829109466040095E-4</v>
      </c>
    </row>
    <row r="318" spans="1:6" x14ac:dyDescent="0.25">
      <c r="A318">
        <v>20353</v>
      </c>
      <c r="B318">
        <v>0</v>
      </c>
      <c r="C318" s="5">
        <v>12.755750000000001</v>
      </c>
      <c r="D318">
        <v>12</v>
      </c>
      <c r="E318" s="3">
        <f t="shared" si="11"/>
        <v>8.3571976681883712E-4</v>
      </c>
    </row>
    <row r="319" spans="1:6" x14ac:dyDescent="0.25">
      <c r="A319">
        <v>20673</v>
      </c>
      <c r="B319" t="s">
        <v>21</v>
      </c>
      <c r="C319" s="5">
        <v>12.7433966666666</v>
      </c>
      <c r="D319">
        <v>0</v>
      </c>
      <c r="E319" s="3">
        <f t="shared" si="11"/>
        <v>5.532531634458499E-3</v>
      </c>
      <c r="F319" t="str">
        <f t="shared" si="12"/>
        <v/>
      </c>
    </row>
    <row r="320" spans="1:6" x14ac:dyDescent="0.25">
      <c r="A320">
        <v>20569</v>
      </c>
      <c r="B320">
        <v>2</v>
      </c>
      <c r="C320" s="5">
        <v>12.60628</v>
      </c>
      <c r="D320">
        <v>4</v>
      </c>
      <c r="E320" s="3">
        <f t="shared" si="11"/>
        <v>5.0963180356636576E-3</v>
      </c>
      <c r="F320" t="str">
        <f t="shared" si="12"/>
        <v/>
      </c>
    </row>
    <row r="321" spans="1:6" x14ac:dyDescent="0.25">
      <c r="A321">
        <v>20255</v>
      </c>
      <c r="B321">
        <v>1</v>
      </c>
      <c r="C321" s="5">
        <v>12.5218666666666</v>
      </c>
      <c r="D321">
        <v>12</v>
      </c>
      <c r="E321" s="3">
        <f t="shared" si="11"/>
        <v>2.8542956299756384E-2</v>
      </c>
      <c r="F321" t="str">
        <f t="shared" si="12"/>
        <v/>
      </c>
    </row>
    <row r="322" spans="1:6" x14ac:dyDescent="0.25">
      <c r="A322">
        <v>20408</v>
      </c>
      <c r="B322">
        <v>2</v>
      </c>
      <c r="C322" s="5">
        <v>12.4815566666666</v>
      </c>
      <c r="D322">
        <v>3</v>
      </c>
      <c r="E322" s="3">
        <f t="shared" si="11"/>
        <v>5.04589635907587E-3</v>
      </c>
      <c r="F322" t="str">
        <f t="shared" si="12"/>
        <v/>
      </c>
    </row>
    <row r="323" spans="1:6" x14ac:dyDescent="0.25">
      <c r="A323">
        <v>20335</v>
      </c>
      <c r="B323">
        <v>0</v>
      </c>
      <c r="C323" s="5">
        <v>12.4054099999999</v>
      </c>
      <c r="D323">
        <v>12</v>
      </c>
      <c r="E323" s="3">
        <f t="shared" ref="E323:E386" si="13">$C323/SUMIF($B$2:$B$781,B323,$C$2:$C$781)</f>
        <v>8.1276650549689253E-4</v>
      </c>
    </row>
    <row r="324" spans="1:6" x14ac:dyDescent="0.25">
      <c r="A324">
        <v>20386</v>
      </c>
      <c r="B324">
        <v>0</v>
      </c>
      <c r="C324" s="5">
        <v>12.3275733333333</v>
      </c>
      <c r="D324">
        <v>12</v>
      </c>
      <c r="E324" s="3">
        <f t="shared" si="13"/>
        <v>8.0766687271037918E-4</v>
      </c>
    </row>
    <row r="325" spans="1:6" x14ac:dyDescent="0.25">
      <c r="A325">
        <v>20453</v>
      </c>
      <c r="B325">
        <v>0</v>
      </c>
      <c r="C325" s="5">
        <v>12.1009233333333</v>
      </c>
      <c r="D325">
        <v>12</v>
      </c>
      <c r="E325" s="3">
        <f t="shared" si="13"/>
        <v>7.9281742166677227E-4</v>
      </c>
    </row>
    <row r="326" spans="1:6" x14ac:dyDescent="0.25">
      <c r="A326">
        <v>20419</v>
      </c>
      <c r="B326">
        <v>0</v>
      </c>
      <c r="C326" s="5">
        <v>12.045450000000001</v>
      </c>
      <c r="D326">
        <v>12</v>
      </c>
      <c r="E326" s="3">
        <f t="shared" si="13"/>
        <v>7.8918296965901349E-4</v>
      </c>
    </row>
    <row r="327" spans="1:6" x14ac:dyDescent="0.25">
      <c r="A327">
        <v>20417</v>
      </c>
      <c r="B327">
        <v>7</v>
      </c>
      <c r="C327" s="5">
        <v>12.04279</v>
      </c>
      <c r="D327">
        <v>12</v>
      </c>
      <c r="E327" s="3">
        <f t="shared" si="13"/>
        <v>1.8178648414013301E-3</v>
      </c>
      <c r="F327" t="str">
        <f t="shared" ref="F327:F386" si="14">IF(AND(OR(B327=0,B327=3,B327=7),D327=12),"Sí","")</f>
        <v>Sí</v>
      </c>
    </row>
    <row r="328" spans="1:6" x14ac:dyDescent="0.25">
      <c r="A328">
        <v>20377</v>
      </c>
      <c r="B328">
        <v>7</v>
      </c>
      <c r="C328" s="5">
        <v>12.024569999999899</v>
      </c>
      <c r="D328">
        <v>12</v>
      </c>
      <c r="E328" s="3">
        <f t="shared" si="13"/>
        <v>1.8151145237913315E-3</v>
      </c>
      <c r="F328" t="str">
        <f t="shared" si="14"/>
        <v>Sí</v>
      </c>
    </row>
    <row r="329" spans="1:6" x14ac:dyDescent="0.25">
      <c r="A329">
        <v>20421</v>
      </c>
      <c r="B329">
        <v>0</v>
      </c>
      <c r="C329" s="5">
        <v>11.864489999999901</v>
      </c>
      <c r="D329">
        <v>12</v>
      </c>
      <c r="E329" s="3">
        <f t="shared" si="13"/>
        <v>7.7732699498064329E-4</v>
      </c>
    </row>
    <row r="330" spans="1:6" x14ac:dyDescent="0.25">
      <c r="A330">
        <v>20406</v>
      </c>
      <c r="B330">
        <v>1</v>
      </c>
      <c r="C330" s="5">
        <v>11.811916666666599</v>
      </c>
      <c r="D330">
        <v>12</v>
      </c>
      <c r="E330" s="3">
        <f t="shared" si="13"/>
        <v>2.6924661490807866E-2</v>
      </c>
      <c r="F330" t="str">
        <f t="shared" si="14"/>
        <v/>
      </c>
    </row>
    <row r="331" spans="1:6" x14ac:dyDescent="0.25">
      <c r="A331">
        <v>20367</v>
      </c>
      <c r="B331">
        <v>0</v>
      </c>
      <c r="C331" s="5">
        <v>11.8086133333333</v>
      </c>
      <c r="D331">
        <v>12</v>
      </c>
      <c r="E331" s="3">
        <f t="shared" si="13"/>
        <v>7.7366611774196863E-4</v>
      </c>
    </row>
    <row r="332" spans="1:6" x14ac:dyDescent="0.25">
      <c r="A332">
        <v>20633</v>
      </c>
      <c r="B332" t="s">
        <v>21</v>
      </c>
      <c r="C332" s="5">
        <v>11.807733333333299</v>
      </c>
      <c r="D332">
        <v>0</v>
      </c>
      <c r="E332" s="3">
        <f t="shared" si="13"/>
        <v>5.1263144283026259E-3</v>
      </c>
      <c r="F332" t="str">
        <f t="shared" si="14"/>
        <v/>
      </c>
    </row>
    <row r="333" spans="1:6" x14ac:dyDescent="0.25">
      <c r="A333">
        <v>20662</v>
      </c>
      <c r="B333" t="s">
        <v>21</v>
      </c>
      <c r="C333" s="5">
        <v>11.7959866666666</v>
      </c>
      <c r="D333">
        <v>0</v>
      </c>
      <c r="E333" s="3">
        <f t="shared" si="13"/>
        <v>5.1212146259004181E-3</v>
      </c>
      <c r="F333" t="str">
        <f t="shared" si="14"/>
        <v/>
      </c>
    </row>
    <row r="334" spans="1:6" x14ac:dyDescent="0.25">
      <c r="A334">
        <v>20463</v>
      </c>
      <c r="B334">
        <v>0</v>
      </c>
      <c r="C334" s="5">
        <v>11.795963333333299</v>
      </c>
      <c r="D334">
        <v>12</v>
      </c>
      <c r="E334" s="3">
        <f t="shared" si="13"/>
        <v>7.7283732640862806E-4</v>
      </c>
    </row>
    <row r="335" spans="1:6" x14ac:dyDescent="0.25">
      <c r="A335">
        <v>20659</v>
      </c>
      <c r="B335" t="s">
        <v>21</v>
      </c>
      <c r="C335" s="5">
        <v>11.7437133333333</v>
      </c>
      <c r="D335">
        <v>0</v>
      </c>
      <c r="E335" s="3">
        <f t="shared" si="13"/>
        <v>5.0985202157780712E-3</v>
      </c>
      <c r="F335" t="str">
        <f t="shared" si="14"/>
        <v/>
      </c>
    </row>
    <row r="336" spans="1:6" x14ac:dyDescent="0.25">
      <c r="A336">
        <v>20328</v>
      </c>
      <c r="B336">
        <v>2</v>
      </c>
      <c r="C336" s="5">
        <v>11.678940000000001</v>
      </c>
      <c r="D336">
        <v>12</v>
      </c>
      <c r="E336" s="3">
        <f t="shared" si="13"/>
        <v>4.7214239695956084E-3</v>
      </c>
      <c r="F336" t="str">
        <f t="shared" si="14"/>
        <v/>
      </c>
    </row>
    <row r="337" spans="1:6" x14ac:dyDescent="0.25">
      <c r="A337">
        <v>20540</v>
      </c>
      <c r="B337">
        <v>2</v>
      </c>
      <c r="C337" s="5">
        <v>11.5845633333333</v>
      </c>
      <c r="D337">
        <v>4</v>
      </c>
      <c r="E337" s="3">
        <f t="shared" si="13"/>
        <v>4.683270485103805E-3</v>
      </c>
      <c r="F337" t="str">
        <f t="shared" si="14"/>
        <v/>
      </c>
    </row>
    <row r="338" spans="1:6" x14ac:dyDescent="0.25">
      <c r="A338">
        <v>20611</v>
      </c>
      <c r="B338">
        <v>2</v>
      </c>
      <c r="C338" s="5">
        <v>11.5646233333333</v>
      </c>
      <c r="D338">
        <v>4</v>
      </c>
      <c r="E338" s="3">
        <f t="shared" si="13"/>
        <v>4.6752093773359997E-3</v>
      </c>
      <c r="F338" t="str">
        <f t="shared" si="14"/>
        <v/>
      </c>
    </row>
    <row r="339" spans="1:6" x14ac:dyDescent="0.25">
      <c r="A339">
        <v>20341</v>
      </c>
      <c r="B339">
        <v>0</v>
      </c>
      <c r="C339" s="5">
        <v>11.554606666666601</v>
      </c>
      <c r="D339">
        <v>12</v>
      </c>
      <c r="E339" s="3">
        <f t="shared" si="13"/>
        <v>7.5702433719302992E-4</v>
      </c>
    </row>
    <row r="340" spans="1:6" x14ac:dyDescent="0.25">
      <c r="A340">
        <v>20649</v>
      </c>
      <c r="B340" t="s">
        <v>21</v>
      </c>
      <c r="C340" s="5">
        <v>11.5315466666666</v>
      </c>
      <c r="D340">
        <v>0</v>
      </c>
      <c r="E340" s="3">
        <f t="shared" si="13"/>
        <v>5.0064082910051778E-3</v>
      </c>
      <c r="F340" t="str">
        <f t="shared" si="14"/>
        <v/>
      </c>
    </row>
    <row r="341" spans="1:6" x14ac:dyDescent="0.25">
      <c r="A341">
        <v>20503</v>
      </c>
      <c r="B341">
        <v>2</v>
      </c>
      <c r="C341" s="5">
        <v>11.500159999999999</v>
      </c>
      <c r="D341">
        <v>5</v>
      </c>
      <c r="E341" s="3">
        <f t="shared" si="13"/>
        <v>4.6491489020565758E-3</v>
      </c>
      <c r="F341" t="str">
        <f t="shared" si="14"/>
        <v/>
      </c>
    </row>
    <row r="342" spans="1:6" x14ac:dyDescent="0.25">
      <c r="A342">
        <v>20686</v>
      </c>
      <c r="B342" t="s">
        <v>21</v>
      </c>
      <c r="C342" s="5">
        <v>11.4897266666666</v>
      </c>
      <c r="D342">
        <v>0</v>
      </c>
      <c r="E342" s="3">
        <f t="shared" si="13"/>
        <v>4.9882521840420909E-3</v>
      </c>
      <c r="F342" t="str">
        <f t="shared" si="14"/>
        <v/>
      </c>
    </row>
    <row r="343" spans="1:6" x14ac:dyDescent="0.25">
      <c r="A343">
        <v>20372</v>
      </c>
      <c r="B343">
        <v>0</v>
      </c>
      <c r="C343" s="5">
        <v>11.4854933333333</v>
      </c>
      <c r="D343">
        <v>12</v>
      </c>
      <c r="E343" s="3">
        <f t="shared" si="13"/>
        <v>7.5249623192149531E-4</v>
      </c>
    </row>
    <row r="344" spans="1:6" x14ac:dyDescent="0.25">
      <c r="A344">
        <v>20510</v>
      </c>
      <c r="B344" t="s">
        <v>21</v>
      </c>
      <c r="C344" s="5">
        <v>11.368426666666601</v>
      </c>
      <c r="D344">
        <v>0</v>
      </c>
      <c r="E344" s="3">
        <f t="shared" si="13"/>
        <v>4.9355899225733552E-3</v>
      </c>
      <c r="F344" t="str">
        <f t="shared" si="14"/>
        <v/>
      </c>
    </row>
    <row r="345" spans="1:6" x14ac:dyDescent="0.25">
      <c r="A345">
        <v>20242</v>
      </c>
      <c r="B345">
        <v>0</v>
      </c>
      <c r="C345" s="5">
        <v>11.30147</v>
      </c>
      <c r="D345">
        <v>12</v>
      </c>
      <c r="E345" s="3">
        <f t="shared" si="13"/>
        <v>7.4043955652235919E-4</v>
      </c>
    </row>
    <row r="346" spans="1:6" x14ac:dyDescent="0.25">
      <c r="A346">
        <v>20400</v>
      </c>
      <c r="B346">
        <v>2</v>
      </c>
      <c r="C346" s="5">
        <v>11.2623866666666</v>
      </c>
      <c r="D346">
        <v>12</v>
      </c>
      <c r="E346" s="3">
        <f t="shared" si="13"/>
        <v>4.5530247062536208E-3</v>
      </c>
      <c r="F346" t="str">
        <f t="shared" si="14"/>
        <v/>
      </c>
    </row>
    <row r="347" spans="1:6" x14ac:dyDescent="0.25">
      <c r="A347">
        <v>20558</v>
      </c>
      <c r="B347">
        <v>2</v>
      </c>
      <c r="C347" s="5">
        <v>11.2112</v>
      </c>
      <c r="D347">
        <v>2</v>
      </c>
      <c r="E347" s="3">
        <f t="shared" si="13"/>
        <v>4.5323315650161984E-3</v>
      </c>
      <c r="F347" t="str">
        <f t="shared" si="14"/>
        <v/>
      </c>
    </row>
    <row r="348" spans="1:6" x14ac:dyDescent="0.25">
      <c r="A348">
        <v>20479</v>
      </c>
      <c r="B348">
        <v>0</v>
      </c>
      <c r="C348" s="5">
        <v>11.0138933333333</v>
      </c>
      <c r="D348">
        <v>12</v>
      </c>
      <c r="E348" s="3">
        <f t="shared" si="13"/>
        <v>7.2159836687774926E-4</v>
      </c>
    </row>
    <row r="349" spans="1:6" x14ac:dyDescent="0.25">
      <c r="A349">
        <v>20281</v>
      </c>
      <c r="B349">
        <v>7</v>
      </c>
      <c r="C349" s="5">
        <v>10.986413333333299</v>
      </c>
      <c r="D349">
        <v>12</v>
      </c>
      <c r="E349" s="3">
        <f t="shared" si="13"/>
        <v>1.6584042843701E-3</v>
      </c>
      <c r="F349" t="str">
        <f t="shared" si="14"/>
        <v>Sí</v>
      </c>
    </row>
    <row r="350" spans="1:6" x14ac:dyDescent="0.25">
      <c r="A350">
        <v>20382</v>
      </c>
      <c r="B350">
        <v>1</v>
      </c>
      <c r="C350" s="5">
        <v>10.9679933333333</v>
      </c>
      <c r="D350">
        <v>12</v>
      </c>
      <c r="E350" s="3">
        <f t="shared" si="13"/>
        <v>2.5000981302789261E-2</v>
      </c>
      <c r="F350" t="str">
        <f t="shared" si="14"/>
        <v/>
      </c>
    </row>
    <row r="351" spans="1:6" x14ac:dyDescent="0.25">
      <c r="A351">
        <v>20703</v>
      </c>
      <c r="B351" t="s">
        <v>21</v>
      </c>
      <c r="C351" s="5">
        <v>10.9383966666666</v>
      </c>
      <c r="D351">
        <v>0</v>
      </c>
      <c r="E351" s="3">
        <f t="shared" si="13"/>
        <v>4.7488928714653532E-3</v>
      </c>
      <c r="F351" t="str">
        <f t="shared" si="14"/>
        <v/>
      </c>
    </row>
    <row r="352" spans="1:6" x14ac:dyDescent="0.25">
      <c r="A352">
        <v>20474</v>
      </c>
      <c r="B352">
        <v>0</v>
      </c>
      <c r="C352" s="5">
        <v>10.84219</v>
      </c>
      <c r="D352">
        <v>12</v>
      </c>
      <c r="E352" s="3">
        <f t="shared" si="13"/>
        <v>7.1034886216847525E-4</v>
      </c>
    </row>
    <row r="353" spans="1:6" x14ac:dyDescent="0.25">
      <c r="A353">
        <v>20694</v>
      </c>
      <c r="B353" t="s">
        <v>21</v>
      </c>
      <c r="C353" s="5">
        <v>10.8389699999999</v>
      </c>
      <c r="D353">
        <v>0</v>
      </c>
      <c r="E353" s="3">
        <f t="shared" si="13"/>
        <v>4.7057268935843423E-3</v>
      </c>
      <c r="F353" t="str">
        <f t="shared" si="14"/>
        <v/>
      </c>
    </row>
    <row r="354" spans="1:6" x14ac:dyDescent="0.25">
      <c r="A354">
        <v>20720</v>
      </c>
      <c r="B354" t="s">
        <v>21</v>
      </c>
      <c r="C354" s="5">
        <v>10.778879999999999</v>
      </c>
      <c r="D354">
        <v>0</v>
      </c>
      <c r="E354" s="3">
        <f t="shared" si="13"/>
        <v>4.6796388862335499E-3</v>
      </c>
      <c r="F354" t="str">
        <f t="shared" si="14"/>
        <v/>
      </c>
    </row>
    <row r="355" spans="1:6" x14ac:dyDescent="0.25">
      <c r="A355">
        <v>20401</v>
      </c>
      <c r="B355">
        <v>0</v>
      </c>
      <c r="C355" s="5">
        <v>10.767293333333299</v>
      </c>
      <c r="D355">
        <v>12</v>
      </c>
      <c r="E355" s="3">
        <f t="shared" si="13"/>
        <v>7.0544184966021784E-4</v>
      </c>
    </row>
    <row r="356" spans="1:6" x14ac:dyDescent="0.25">
      <c r="A356">
        <v>20627</v>
      </c>
      <c r="B356">
        <v>2</v>
      </c>
      <c r="C356" s="5">
        <v>10.578866666666601</v>
      </c>
      <c r="D356">
        <v>2</v>
      </c>
      <c r="E356" s="3">
        <f t="shared" si="13"/>
        <v>4.2766993109953199E-3</v>
      </c>
      <c r="F356" t="str">
        <f t="shared" si="14"/>
        <v/>
      </c>
    </row>
    <row r="357" spans="1:6" x14ac:dyDescent="0.25">
      <c r="A357">
        <v>20366</v>
      </c>
      <c r="B357">
        <v>0</v>
      </c>
      <c r="C357" s="5">
        <v>10.46518</v>
      </c>
      <c r="D357">
        <v>12</v>
      </c>
      <c r="E357" s="3">
        <f t="shared" si="13"/>
        <v>6.8564825975086976E-4</v>
      </c>
    </row>
    <row r="358" spans="1:6" x14ac:dyDescent="0.25">
      <c r="A358">
        <v>20396</v>
      </c>
      <c r="B358">
        <v>0</v>
      </c>
      <c r="C358" s="5">
        <v>10.43313</v>
      </c>
      <c r="D358">
        <v>12</v>
      </c>
      <c r="E358" s="3">
        <f t="shared" si="13"/>
        <v>6.8354843664940237E-4</v>
      </c>
    </row>
    <row r="359" spans="1:6" x14ac:dyDescent="0.25">
      <c r="A359">
        <v>20541</v>
      </c>
      <c r="B359">
        <v>2</v>
      </c>
      <c r="C359" s="5">
        <v>10.4269833333333</v>
      </c>
      <c r="D359">
        <v>9</v>
      </c>
      <c r="E359" s="3">
        <f t="shared" si="13"/>
        <v>4.215297710286529E-3</v>
      </c>
      <c r="F359" t="str">
        <f t="shared" si="14"/>
        <v/>
      </c>
    </row>
    <row r="360" spans="1:6" x14ac:dyDescent="0.25">
      <c r="A360">
        <v>20691</v>
      </c>
      <c r="B360" t="s">
        <v>21</v>
      </c>
      <c r="C360" s="5">
        <v>10.413309999999999</v>
      </c>
      <c r="D360">
        <v>0</v>
      </c>
      <c r="E360" s="3">
        <f t="shared" si="13"/>
        <v>4.5209270731657357E-3</v>
      </c>
      <c r="F360" t="str">
        <f t="shared" si="14"/>
        <v/>
      </c>
    </row>
    <row r="361" spans="1:6" x14ac:dyDescent="0.25">
      <c r="A361">
        <v>20488</v>
      </c>
      <c r="B361">
        <v>2</v>
      </c>
      <c r="C361" s="5">
        <v>10.357336666666599</v>
      </c>
      <c r="D361">
        <v>9</v>
      </c>
      <c r="E361" s="3">
        <f t="shared" si="13"/>
        <v>4.1871417782068541E-3</v>
      </c>
      <c r="F361" t="str">
        <f t="shared" si="14"/>
        <v/>
      </c>
    </row>
    <row r="362" spans="1:6" x14ac:dyDescent="0.25">
      <c r="A362">
        <v>20450</v>
      </c>
      <c r="B362">
        <v>7</v>
      </c>
      <c r="C362" s="5">
        <v>10.2860533333333</v>
      </c>
      <c r="D362">
        <v>12</v>
      </c>
      <c r="E362" s="3">
        <f t="shared" si="13"/>
        <v>1.5526846114102763E-3</v>
      </c>
      <c r="F362" t="str">
        <f t="shared" si="14"/>
        <v>Sí</v>
      </c>
    </row>
    <row r="363" spans="1:6" x14ac:dyDescent="0.25">
      <c r="A363">
        <v>20513</v>
      </c>
      <c r="B363">
        <v>7</v>
      </c>
      <c r="C363" s="5">
        <v>10.282273333333301</v>
      </c>
      <c r="D363">
        <v>10</v>
      </c>
      <c r="E363" s="3">
        <f t="shared" si="13"/>
        <v>1.5521140186240121E-3</v>
      </c>
      <c r="F363" t="str">
        <f t="shared" si="14"/>
        <v/>
      </c>
    </row>
    <row r="364" spans="1:6" x14ac:dyDescent="0.25">
      <c r="A364">
        <v>20410</v>
      </c>
      <c r="B364">
        <v>0</v>
      </c>
      <c r="C364" s="5">
        <v>10.012593333333299</v>
      </c>
      <c r="D364">
        <v>12</v>
      </c>
      <c r="E364" s="3">
        <f t="shared" si="13"/>
        <v>6.5599609319602127E-4</v>
      </c>
    </row>
    <row r="365" spans="1:6" x14ac:dyDescent="0.25">
      <c r="A365">
        <v>20553</v>
      </c>
      <c r="B365">
        <v>2</v>
      </c>
      <c r="C365" s="5">
        <v>9.8846666666666607</v>
      </c>
      <c r="D365">
        <v>4</v>
      </c>
      <c r="E365" s="3">
        <f t="shared" si="13"/>
        <v>3.9960563314361316E-3</v>
      </c>
      <c r="F365" t="str">
        <f t="shared" si="14"/>
        <v/>
      </c>
    </row>
    <row r="366" spans="1:6" x14ac:dyDescent="0.25">
      <c r="A366">
        <v>20593</v>
      </c>
      <c r="B366" t="s">
        <v>21</v>
      </c>
      <c r="C366" s="5">
        <v>9.8637533333333298</v>
      </c>
      <c r="D366">
        <v>0</v>
      </c>
      <c r="E366" s="3">
        <f t="shared" si="13"/>
        <v>4.282337651303517E-3</v>
      </c>
      <c r="F366" t="str">
        <f t="shared" si="14"/>
        <v/>
      </c>
    </row>
    <row r="367" spans="1:6" x14ac:dyDescent="0.25">
      <c r="A367">
        <v>20271</v>
      </c>
      <c r="B367">
        <v>0</v>
      </c>
      <c r="C367" s="5">
        <v>9.7682366666666596</v>
      </c>
      <c r="D367">
        <v>12</v>
      </c>
      <c r="E367" s="3">
        <f t="shared" si="13"/>
        <v>6.3998655267607748E-4</v>
      </c>
    </row>
    <row r="368" spans="1:6" x14ac:dyDescent="0.25">
      <c r="A368">
        <v>20559</v>
      </c>
      <c r="B368">
        <v>2</v>
      </c>
      <c r="C368" s="5">
        <v>9.7624399999999998</v>
      </c>
      <c r="D368">
        <v>4</v>
      </c>
      <c r="E368" s="3">
        <f t="shared" si="13"/>
        <v>3.9466439777701527E-3</v>
      </c>
      <c r="F368" t="str">
        <f t="shared" si="14"/>
        <v/>
      </c>
    </row>
    <row r="369" spans="1:6" x14ac:dyDescent="0.25">
      <c r="A369">
        <v>20358</v>
      </c>
      <c r="B369">
        <v>0</v>
      </c>
      <c r="C369" s="5">
        <v>9.7115200000000002</v>
      </c>
      <c r="D369">
        <v>12</v>
      </c>
      <c r="E369" s="3">
        <f t="shared" si="13"/>
        <v>6.36270641072181E-4</v>
      </c>
    </row>
    <row r="370" spans="1:6" x14ac:dyDescent="0.25">
      <c r="A370">
        <v>20249</v>
      </c>
      <c r="B370">
        <v>0</v>
      </c>
      <c r="C370" s="5">
        <v>9.6603866666666605</v>
      </c>
      <c r="D370">
        <v>12</v>
      </c>
      <c r="E370" s="3">
        <f t="shared" si="13"/>
        <v>6.3292053328471189E-4</v>
      </c>
    </row>
    <row r="371" spans="1:6" x14ac:dyDescent="0.25">
      <c r="A371">
        <v>20285</v>
      </c>
      <c r="B371">
        <v>0</v>
      </c>
      <c r="C371" s="5">
        <v>9.57179</v>
      </c>
      <c r="D371">
        <v>12</v>
      </c>
      <c r="E371" s="3">
        <f t="shared" si="13"/>
        <v>6.2711593648659436E-4</v>
      </c>
    </row>
    <row r="372" spans="1:6" x14ac:dyDescent="0.25">
      <c r="A372">
        <v>20571</v>
      </c>
      <c r="B372">
        <v>0</v>
      </c>
      <c r="C372" s="5">
        <v>9.5704833333333301</v>
      </c>
      <c r="D372">
        <v>9</v>
      </c>
      <c r="E372" s="3">
        <f t="shared" si="13"/>
        <v>6.2703032747403302E-4</v>
      </c>
      <c r="F372" t="str">
        <f t="shared" si="14"/>
        <v/>
      </c>
    </row>
    <row r="373" spans="1:6" x14ac:dyDescent="0.25">
      <c r="A373">
        <v>20434</v>
      </c>
      <c r="B373">
        <v>2</v>
      </c>
      <c r="C373" s="5">
        <v>9.5574999999999992</v>
      </c>
      <c r="D373">
        <v>12</v>
      </c>
      <c r="E373" s="3">
        <f t="shared" si="13"/>
        <v>3.8637932543030464E-3</v>
      </c>
      <c r="F373" t="str">
        <f t="shared" si="14"/>
        <v/>
      </c>
    </row>
    <row r="374" spans="1:6" x14ac:dyDescent="0.25">
      <c r="A374">
        <v>20500</v>
      </c>
      <c r="B374">
        <v>0</v>
      </c>
      <c r="C374" s="5">
        <v>9.5503599999999995</v>
      </c>
      <c r="D374">
        <v>12</v>
      </c>
      <c r="E374" s="3">
        <f t="shared" si="13"/>
        <v>6.2571190500252424E-4</v>
      </c>
    </row>
    <row r="375" spans="1:6" x14ac:dyDescent="0.25">
      <c r="A375">
        <v>20709</v>
      </c>
      <c r="B375">
        <v>2</v>
      </c>
      <c r="C375" s="5">
        <v>9.4133966666666602</v>
      </c>
      <c r="D375">
        <v>3</v>
      </c>
      <c r="E375" s="3">
        <f t="shared" si="13"/>
        <v>3.8055368601355405E-3</v>
      </c>
      <c r="F375" t="str">
        <f t="shared" si="14"/>
        <v/>
      </c>
    </row>
    <row r="376" spans="1:6" x14ac:dyDescent="0.25">
      <c r="A376">
        <v>20469</v>
      </c>
      <c r="B376">
        <v>1</v>
      </c>
      <c r="C376" s="5">
        <v>9.4081266666666608</v>
      </c>
      <c r="D376">
        <v>12</v>
      </c>
      <c r="E376" s="3">
        <f t="shared" si="13"/>
        <v>2.1445344808221401E-2</v>
      </c>
      <c r="F376" t="str">
        <f t="shared" si="14"/>
        <v/>
      </c>
    </row>
    <row r="377" spans="1:6" x14ac:dyDescent="0.25">
      <c r="A377">
        <v>20711</v>
      </c>
      <c r="B377" t="s">
        <v>21</v>
      </c>
      <c r="C377" s="5">
        <v>9.3588033333333307</v>
      </c>
      <c r="D377">
        <v>0</v>
      </c>
      <c r="E377" s="3">
        <f t="shared" si="13"/>
        <v>4.0631141646700611E-3</v>
      </c>
      <c r="F377" t="str">
        <f t="shared" si="14"/>
        <v/>
      </c>
    </row>
    <row r="378" spans="1:6" x14ac:dyDescent="0.25">
      <c r="A378">
        <v>20385</v>
      </c>
      <c r="B378">
        <v>0</v>
      </c>
      <c r="C378" s="5">
        <v>9.2971533333333305</v>
      </c>
      <c r="D378">
        <v>12</v>
      </c>
      <c r="E378" s="3">
        <f t="shared" si="13"/>
        <v>6.091225381347474E-4</v>
      </c>
    </row>
    <row r="379" spans="1:6" x14ac:dyDescent="0.25">
      <c r="A379">
        <v>20407</v>
      </c>
      <c r="B379">
        <v>0</v>
      </c>
      <c r="C379" s="5">
        <v>9.2379766666666594</v>
      </c>
      <c r="D379">
        <v>12</v>
      </c>
      <c r="E379" s="3">
        <f t="shared" si="13"/>
        <v>6.0524545446128362E-4</v>
      </c>
    </row>
    <row r="380" spans="1:6" x14ac:dyDescent="0.25">
      <c r="A380">
        <v>20404</v>
      </c>
      <c r="B380">
        <v>1</v>
      </c>
      <c r="C380" s="5">
        <v>9.1865500000000004</v>
      </c>
      <c r="D380">
        <v>12</v>
      </c>
      <c r="E380" s="3">
        <f t="shared" si="13"/>
        <v>2.0940272099649288E-2</v>
      </c>
      <c r="F380" t="str">
        <f t="shared" si="14"/>
        <v/>
      </c>
    </row>
    <row r="381" spans="1:6" x14ac:dyDescent="0.25">
      <c r="A381">
        <v>20681</v>
      </c>
      <c r="B381" t="s">
        <v>21</v>
      </c>
      <c r="C381" s="5">
        <v>9.1252200000000006</v>
      </c>
      <c r="D381">
        <v>0</v>
      </c>
      <c r="E381" s="3">
        <f t="shared" si="13"/>
        <v>3.961704217640063E-3</v>
      </c>
      <c r="F381" t="str">
        <f t="shared" si="14"/>
        <v/>
      </c>
    </row>
    <row r="382" spans="1:6" x14ac:dyDescent="0.25">
      <c r="A382">
        <v>20383</v>
      </c>
      <c r="B382">
        <v>0</v>
      </c>
      <c r="C382" s="5">
        <v>9.1244833333333304</v>
      </c>
      <c r="D382">
        <v>12</v>
      </c>
      <c r="E382" s="3">
        <f t="shared" si="13"/>
        <v>5.9780970022740301E-4</v>
      </c>
    </row>
    <row r="383" spans="1:6" x14ac:dyDescent="0.25">
      <c r="A383">
        <v>20481</v>
      </c>
      <c r="B383">
        <v>2</v>
      </c>
      <c r="C383" s="5">
        <v>9.0453799999999998</v>
      </c>
      <c r="D383">
        <v>9</v>
      </c>
      <c r="E383" s="3">
        <f t="shared" si="13"/>
        <v>3.6567594273196643E-3</v>
      </c>
      <c r="F383" t="str">
        <f t="shared" si="14"/>
        <v/>
      </c>
    </row>
    <row r="384" spans="1:6" x14ac:dyDescent="0.25">
      <c r="A384">
        <v>20754</v>
      </c>
      <c r="B384" t="s">
        <v>21</v>
      </c>
      <c r="C384" s="5">
        <v>8.99193</v>
      </c>
      <c r="D384">
        <v>0</v>
      </c>
      <c r="E384" s="3">
        <f t="shared" si="13"/>
        <v>3.903836510870336E-3</v>
      </c>
      <c r="F384" t="str">
        <f t="shared" si="14"/>
        <v/>
      </c>
    </row>
    <row r="385" spans="1:6" x14ac:dyDescent="0.25">
      <c r="A385">
        <v>20411</v>
      </c>
      <c r="B385">
        <v>0</v>
      </c>
      <c r="C385" s="5">
        <v>8.9228166666666606</v>
      </c>
      <c r="D385">
        <v>12</v>
      </c>
      <c r="E385" s="3">
        <f t="shared" si="13"/>
        <v>5.8459708476835115E-4</v>
      </c>
    </row>
    <row r="386" spans="1:6" x14ac:dyDescent="0.25">
      <c r="A386">
        <v>20426</v>
      </c>
      <c r="B386">
        <v>7</v>
      </c>
      <c r="C386" s="5">
        <v>8.9094633333333295</v>
      </c>
      <c r="D386">
        <v>11</v>
      </c>
      <c r="E386" s="3">
        <f t="shared" si="13"/>
        <v>1.344887700393427E-3</v>
      </c>
      <c r="F386" t="str">
        <f t="shared" si="14"/>
        <v/>
      </c>
    </row>
    <row r="387" spans="1:6" x14ac:dyDescent="0.25">
      <c r="A387">
        <v>20278</v>
      </c>
      <c r="B387">
        <v>0</v>
      </c>
      <c r="C387" s="5">
        <v>8.7972199999999994</v>
      </c>
      <c r="D387">
        <v>12</v>
      </c>
      <c r="E387" s="3">
        <f t="shared" ref="E387:E450" si="15">$C387/SUMIF($B$2:$B$781,B387,$C$2:$C$781)</f>
        <v>5.7636835521658939E-4</v>
      </c>
    </row>
    <row r="388" spans="1:6" x14ac:dyDescent="0.25">
      <c r="A388">
        <v>20470</v>
      </c>
      <c r="B388">
        <v>5</v>
      </c>
      <c r="C388" s="5">
        <v>8.7482266666666604</v>
      </c>
      <c r="D388">
        <v>12</v>
      </c>
      <c r="E388" s="3">
        <f t="shared" si="15"/>
        <v>3.8159127172566858E-2</v>
      </c>
      <c r="F388" t="str">
        <f t="shared" ref="F388:F448" si="16">IF(AND(OR(B388=0,B388=3,B388=7),D388=12),"Sí","")</f>
        <v/>
      </c>
    </row>
    <row r="389" spans="1:6" x14ac:dyDescent="0.25">
      <c r="A389">
        <v>20719</v>
      </c>
      <c r="B389" t="s">
        <v>21</v>
      </c>
      <c r="C389" s="5">
        <v>8.7470800000000004</v>
      </c>
      <c r="D389">
        <v>0</v>
      </c>
      <c r="E389" s="3">
        <f t="shared" si="15"/>
        <v>3.7975351529097425E-3</v>
      </c>
      <c r="F389" t="str">
        <f t="shared" si="16"/>
        <v/>
      </c>
    </row>
    <row r="390" spans="1:6" x14ac:dyDescent="0.25">
      <c r="A390">
        <v>20390</v>
      </c>
      <c r="B390">
        <v>0</v>
      </c>
      <c r="C390" s="5">
        <v>8.7234800000000003</v>
      </c>
      <c r="D390">
        <v>12</v>
      </c>
      <c r="E390" s="3">
        <f t="shared" si="15"/>
        <v>5.7153712415567793E-4</v>
      </c>
    </row>
    <row r="391" spans="1:6" x14ac:dyDescent="0.25">
      <c r="A391">
        <v>20384</v>
      </c>
      <c r="B391">
        <v>3</v>
      </c>
      <c r="C391" s="5">
        <v>8.7078299999999995</v>
      </c>
      <c r="D391">
        <v>12</v>
      </c>
      <c r="E391" s="3">
        <f t="shared" si="15"/>
        <v>2.6293295811706725E-3</v>
      </c>
      <c r="F391" t="str">
        <f t="shared" si="16"/>
        <v>Sí</v>
      </c>
    </row>
    <row r="392" spans="1:6" x14ac:dyDescent="0.25">
      <c r="A392">
        <v>20674</v>
      </c>
      <c r="B392" t="s">
        <v>21</v>
      </c>
      <c r="C392" s="5">
        <v>8.6802299999999999</v>
      </c>
      <c r="D392">
        <v>0</v>
      </c>
      <c r="E392" s="3">
        <f t="shared" si="15"/>
        <v>3.7685122990005499E-3</v>
      </c>
      <c r="F392" t="str">
        <f t="shared" si="16"/>
        <v/>
      </c>
    </row>
    <row r="393" spans="1:6" x14ac:dyDescent="0.25">
      <c r="A393">
        <v>20679</v>
      </c>
      <c r="B393">
        <v>2</v>
      </c>
      <c r="C393" s="5">
        <v>8.6403699999999901</v>
      </c>
      <c r="D393">
        <v>5</v>
      </c>
      <c r="E393" s="3">
        <f t="shared" si="15"/>
        <v>3.493026766485208E-3</v>
      </c>
      <c r="F393" t="str">
        <f t="shared" si="16"/>
        <v/>
      </c>
    </row>
    <row r="394" spans="1:6" x14ac:dyDescent="0.25">
      <c r="A394">
        <v>20388</v>
      </c>
      <c r="B394">
        <v>3</v>
      </c>
      <c r="C394" s="5">
        <v>8.5831199999999992</v>
      </c>
      <c r="D394">
        <v>12</v>
      </c>
      <c r="E394" s="3">
        <f t="shared" si="15"/>
        <v>2.5916733921927302E-3</v>
      </c>
      <c r="F394" t="str">
        <f t="shared" si="16"/>
        <v>Sí</v>
      </c>
    </row>
    <row r="395" spans="1:6" x14ac:dyDescent="0.25">
      <c r="A395">
        <v>20466</v>
      </c>
      <c r="B395">
        <v>0</v>
      </c>
      <c r="C395" s="5">
        <v>8.4961533333333303</v>
      </c>
      <c r="D395">
        <v>12</v>
      </c>
      <c r="E395" s="3">
        <f t="shared" si="15"/>
        <v>5.5664333987342303E-4</v>
      </c>
    </row>
    <row r="396" spans="1:6" x14ac:dyDescent="0.25">
      <c r="A396">
        <v>20620</v>
      </c>
      <c r="B396" t="s">
        <v>21</v>
      </c>
      <c r="C396" s="5">
        <v>8.4896933333333298</v>
      </c>
      <c r="D396">
        <v>0</v>
      </c>
      <c r="E396" s="3">
        <f t="shared" si="15"/>
        <v>3.685791014916613E-3</v>
      </c>
      <c r="F396" t="str">
        <f t="shared" si="16"/>
        <v/>
      </c>
    </row>
    <row r="397" spans="1:6" x14ac:dyDescent="0.25">
      <c r="A397">
        <v>20538</v>
      </c>
      <c r="B397">
        <v>0</v>
      </c>
      <c r="C397" s="5">
        <v>8.4497333333333309</v>
      </c>
      <c r="D397">
        <v>12</v>
      </c>
      <c r="E397" s="3">
        <f t="shared" si="15"/>
        <v>5.5360203602412134E-4</v>
      </c>
    </row>
    <row r="398" spans="1:6" x14ac:dyDescent="0.25">
      <c r="A398">
        <v>20228</v>
      </c>
      <c r="B398">
        <v>0</v>
      </c>
      <c r="C398" s="5">
        <v>8.3116000000000003</v>
      </c>
      <c r="D398">
        <v>12</v>
      </c>
      <c r="E398" s="3">
        <f t="shared" si="15"/>
        <v>5.445519404105166E-4</v>
      </c>
    </row>
    <row r="399" spans="1:6" x14ac:dyDescent="0.25">
      <c r="A399">
        <v>20322</v>
      </c>
      <c r="B399">
        <v>0</v>
      </c>
      <c r="C399" s="5">
        <v>8.2903133333333301</v>
      </c>
      <c r="D399">
        <v>12</v>
      </c>
      <c r="E399" s="3">
        <f t="shared" si="15"/>
        <v>5.4315729971098731E-4</v>
      </c>
    </row>
    <row r="400" spans="1:6" x14ac:dyDescent="0.25">
      <c r="A400">
        <v>20477</v>
      </c>
      <c r="B400">
        <v>2</v>
      </c>
      <c r="C400" s="5">
        <v>8.2063433333333293</v>
      </c>
      <c r="D400">
        <v>3</v>
      </c>
      <c r="E400" s="3">
        <f t="shared" si="15"/>
        <v>3.3175635902514358E-3</v>
      </c>
      <c r="F400" t="str">
        <f t="shared" si="16"/>
        <v/>
      </c>
    </row>
    <row r="401" spans="1:6" x14ac:dyDescent="0.25">
      <c r="A401">
        <v>20447</v>
      </c>
      <c r="B401">
        <v>0</v>
      </c>
      <c r="C401" s="5">
        <v>8.1925766666666604</v>
      </c>
      <c r="D401">
        <v>12</v>
      </c>
      <c r="E401" s="3">
        <f t="shared" si="15"/>
        <v>5.3675387660561758E-4</v>
      </c>
    </row>
    <row r="402" spans="1:6" x14ac:dyDescent="0.25">
      <c r="A402">
        <v>20432</v>
      </c>
      <c r="B402">
        <v>0</v>
      </c>
      <c r="C402" s="5">
        <v>8.1683433333333308</v>
      </c>
      <c r="D402">
        <v>12</v>
      </c>
      <c r="E402" s="3">
        <f t="shared" si="15"/>
        <v>5.3516617884714999E-4</v>
      </c>
    </row>
    <row r="403" spans="1:6" x14ac:dyDescent="0.25">
      <c r="A403">
        <v>20542</v>
      </c>
      <c r="B403">
        <v>0</v>
      </c>
      <c r="C403" s="5">
        <v>8.1035266666666601</v>
      </c>
      <c r="D403">
        <v>12</v>
      </c>
      <c r="E403" s="3">
        <f t="shared" si="15"/>
        <v>5.3091957872150911E-4</v>
      </c>
    </row>
    <row r="404" spans="1:6" x14ac:dyDescent="0.25">
      <c r="A404">
        <v>20473</v>
      </c>
      <c r="B404">
        <v>7</v>
      </c>
      <c r="C404" s="5">
        <v>7.9943499999999998</v>
      </c>
      <c r="D404">
        <v>12</v>
      </c>
      <c r="E404" s="3">
        <f t="shared" si="15"/>
        <v>1.2067509102838066E-3</v>
      </c>
      <c r="F404" t="str">
        <f t="shared" si="16"/>
        <v>Sí</v>
      </c>
    </row>
    <row r="405" spans="1:6" x14ac:dyDescent="0.25">
      <c r="A405">
        <v>20576</v>
      </c>
      <c r="B405">
        <v>7</v>
      </c>
      <c r="C405" s="5">
        <v>7.9806099999999898</v>
      </c>
      <c r="D405">
        <v>10</v>
      </c>
      <c r="E405" s="3">
        <f t="shared" si="15"/>
        <v>1.2046768507908757E-3</v>
      </c>
      <c r="F405" t="str">
        <f t="shared" si="16"/>
        <v/>
      </c>
    </row>
    <row r="406" spans="1:6" x14ac:dyDescent="0.25">
      <c r="A406">
        <v>20762</v>
      </c>
      <c r="B406" t="s">
        <v>21</v>
      </c>
      <c r="C406" s="5">
        <v>7.9554099999999996</v>
      </c>
      <c r="D406">
        <v>0</v>
      </c>
      <c r="E406" s="3">
        <f t="shared" si="15"/>
        <v>3.4538324939076457E-3</v>
      </c>
      <c r="F406" t="str">
        <f t="shared" si="16"/>
        <v/>
      </c>
    </row>
    <row r="407" spans="1:6" x14ac:dyDescent="0.25">
      <c r="A407">
        <v>20732</v>
      </c>
      <c r="B407" t="s">
        <v>21</v>
      </c>
      <c r="C407" s="5">
        <v>7.9430766666666601</v>
      </c>
      <c r="D407">
        <v>0</v>
      </c>
      <c r="E407" s="3">
        <f t="shared" si="15"/>
        <v>3.4484779908179391E-3</v>
      </c>
      <c r="F407" t="str">
        <f t="shared" si="16"/>
        <v/>
      </c>
    </row>
    <row r="408" spans="1:6" x14ac:dyDescent="0.25">
      <c r="A408">
        <v>20815</v>
      </c>
      <c r="B408" t="s">
        <v>21</v>
      </c>
      <c r="C408" s="5">
        <v>7.9099166666666596</v>
      </c>
      <c r="D408">
        <v>0</v>
      </c>
      <c r="E408" s="3">
        <f t="shared" si="15"/>
        <v>3.4340816133216216E-3</v>
      </c>
      <c r="F408" t="str">
        <f t="shared" si="16"/>
        <v/>
      </c>
    </row>
    <row r="409" spans="1:6" x14ac:dyDescent="0.25">
      <c r="A409">
        <v>20567</v>
      </c>
      <c r="B409">
        <v>0</v>
      </c>
      <c r="C409" s="5">
        <v>7.79298</v>
      </c>
      <c r="D409">
        <v>12</v>
      </c>
      <c r="E409" s="3">
        <f t="shared" si="15"/>
        <v>5.1057346125659884E-4</v>
      </c>
    </row>
    <row r="410" spans="1:6" x14ac:dyDescent="0.25">
      <c r="A410">
        <v>20604</v>
      </c>
      <c r="B410">
        <v>7</v>
      </c>
      <c r="C410" s="5">
        <v>7.7572099999999997</v>
      </c>
      <c r="D410">
        <v>10</v>
      </c>
      <c r="E410" s="3">
        <f t="shared" si="15"/>
        <v>1.1709545152217061E-3</v>
      </c>
      <c r="F410" t="str">
        <f t="shared" si="16"/>
        <v/>
      </c>
    </row>
    <row r="411" spans="1:6" x14ac:dyDescent="0.25">
      <c r="A411">
        <v>20443</v>
      </c>
      <c r="B411">
        <v>0</v>
      </c>
      <c r="C411" s="5">
        <v>7.7506266666666601</v>
      </c>
      <c r="D411">
        <v>12</v>
      </c>
      <c r="E411" s="3">
        <f t="shared" si="15"/>
        <v>5.0779859361985938E-4</v>
      </c>
    </row>
    <row r="412" spans="1:6" x14ac:dyDescent="0.25">
      <c r="A412">
        <v>20585</v>
      </c>
      <c r="B412">
        <v>0</v>
      </c>
      <c r="C412" s="5">
        <v>7.65269333333333</v>
      </c>
      <c r="D412">
        <v>12</v>
      </c>
      <c r="E412" s="3">
        <f t="shared" si="15"/>
        <v>5.0138228548453833E-4</v>
      </c>
    </row>
    <row r="413" spans="1:6" x14ac:dyDescent="0.25">
      <c r="A413">
        <v>20549</v>
      </c>
      <c r="B413">
        <v>0</v>
      </c>
      <c r="C413" s="5">
        <v>7.6417866666666603</v>
      </c>
      <c r="D413">
        <v>12</v>
      </c>
      <c r="E413" s="3">
        <f t="shared" si="15"/>
        <v>5.0066771229805853E-4</v>
      </c>
    </row>
    <row r="414" spans="1:6" x14ac:dyDescent="0.25">
      <c r="A414">
        <v>20746</v>
      </c>
      <c r="B414" t="s">
        <v>21</v>
      </c>
      <c r="C414" s="5">
        <v>7.62432</v>
      </c>
      <c r="D414">
        <v>0</v>
      </c>
      <c r="E414" s="3">
        <f t="shared" si="15"/>
        <v>3.3100901348830473E-3</v>
      </c>
      <c r="F414" t="str">
        <f t="shared" si="16"/>
        <v/>
      </c>
    </row>
    <row r="415" spans="1:6" x14ac:dyDescent="0.25">
      <c r="A415">
        <v>20496</v>
      </c>
      <c r="B415">
        <v>0</v>
      </c>
      <c r="C415" s="5">
        <v>7.56884333333333</v>
      </c>
      <c r="D415">
        <v>12</v>
      </c>
      <c r="E415" s="3">
        <f t="shared" si="15"/>
        <v>4.9588867652796895E-4</v>
      </c>
    </row>
    <row r="416" spans="1:6" x14ac:dyDescent="0.25">
      <c r="A416">
        <v>20682</v>
      </c>
      <c r="B416">
        <v>2</v>
      </c>
      <c r="C416" s="5">
        <v>7.54961666666666</v>
      </c>
      <c r="D416">
        <v>4</v>
      </c>
      <c r="E416" s="3">
        <f t="shared" si="15"/>
        <v>3.0520698874434205E-3</v>
      </c>
      <c r="F416" t="str">
        <f t="shared" si="16"/>
        <v/>
      </c>
    </row>
    <row r="417" spans="1:6" x14ac:dyDescent="0.25">
      <c r="A417">
        <v>20638</v>
      </c>
      <c r="B417">
        <v>2</v>
      </c>
      <c r="C417" s="5">
        <v>7.3294033333333299</v>
      </c>
      <c r="D417">
        <v>6</v>
      </c>
      <c r="E417" s="3">
        <f t="shared" si="15"/>
        <v>2.9630446411090332E-3</v>
      </c>
      <c r="F417" t="str">
        <f t="shared" si="16"/>
        <v/>
      </c>
    </row>
    <row r="418" spans="1:6" x14ac:dyDescent="0.25">
      <c r="A418">
        <v>20563</v>
      </c>
      <c r="B418">
        <v>0</v>
      </c>
      <c r="C418" s="5">
        <v>7.3179833333333297</v>
      </c>
      <c r="D418">
        <v>12</v>
      </c>
      <c r="E418" s="3">
        <f t="shared" si="15"/>
        <v>4.7945305645826126E-4</v>
      </c>
    </row>
    <row r="419" spans="1:6" x14ac:dyDescent="0.25">
      <c r="A419">
        <v>20483</v>
      </c>
      <c r="B419">
        <v>7</v>
      </c>
      <c r="C419" s="5">
        <v>7.2469533333333302</v>
      </c>
      <c r="D419">
        <v>12</v>
      </c>
      <c r="E419" s="3">
        <f t="shared" si="15"/>
        <v>1.0939310302631562E-3</v>
      </c>
      <c r="F419" t="str">
        <f t="shared" si="16"/>
        <v>Sí</v>
      </c>
    </row>
    <row r="420" spans="1:6" x14ac:dyDescent="0.25">
      <c r="A420">
        <v>20456</v>
      </c>
      <c r="B420">
        <v>1</v>
      </c>
      <c r="C420" s="5">
        <v>7.2083399999999997</v>
      </c>
      <c r="D420">
        <v>11</v>
      </c>
      <c r="E420" s="3">
        <f t="shared" si="15"/>
        <v>1.6431043317326519E-2</v>
      </c>
      <c r="F420" t="str">
        <f t="shared" si="16"/>
        <v/>
      </c>
    </row>
    <row r="421" spans="1:6" x14ac:dyDescent="0.25">
      <c r="A421">
        <v>20795</v>
      </c>
      <c r="B421" t="s">
        <v>21</v>
      </c>
      <c r="C421" s="5">
        <v>7.1464999999999996</v>
      </c>
      <c r="D421">
        <v>0</v>
      </c>
      <c r="E421" s="3">
        <f t="shared" si="15"/>
        <v>3.102645107883942E-3</v>
      </c>
      <c r="F421" t="str">
        <f t="shared" si="16"/>
        <v/>
      </c>
    </row>
    <row r="422" spans="1:6" x14ac:dyDescent="0.25">
      <c r="A422">
        <v>20482</v>
      </c>
      <c r="B422">
        <v>0</v>
      </c>
      <c r="C422" s="5">
        <v>7.1464800000000004</v>
      </c>
      <c r="D422">
        <v>12</v>
      </c>
      <c r="E422" s="3">
        <f t="shared" si="15"/>
        <v>4.6821665516927525E-4</v>
      </c>
    </row>
    <row r="423" spans="1:6" x14ac:dyDescent="0.25">
      <c r="A423">
        <v>20465</v>
      </c>
      <c r="B423">
        <v>0</v>
      </c>
      <c r="C423" s="5">
        <v>7.1146066666666599</v>
      </c>
      <c r="D423">
        <v>12</v>
      </c>
      <c r="E423" s="3">
        <f t="shared" si="15"/>
        <v>4.6612840675573012E-4</v>
      </c>
    </row>
    <row r="424" spans="1:6" x14ac:dyDescent="0.25">
      <c r="A424">
        <v>20304</v>
      </c>
      <c r="B424">
        <v>0</v>
      </c>
      <c r="C424" s="5">
        <v>7.1052799999999996</v>
      </c>
      <c r="D424">
        <v>12</v>
      </c>
      <c r="E424" s="3">
        <f t="shared" si="15"/>
        <v>4.655173505895417E-4</v>
      </c>
    </row>
    <row r="425" spans="1:6" x14ac:dyDescent="0.25">
      <c r="A425">
        <v>20375</v>
      </c>
      <c r="B425">
        <v>0</v>
      </c>
      <c r="C425" s="5">
        <v>7.05582333333333</v>
      </c>
      <c r="D425">
        <v>12</v>
      </c>
      <c r="E425" s="3">
        <f t="shared" si="15"/>
        <v>4.6227709314217044E-4</v>
      </c>
    </row>
    <row r="426" spans="1:6" x14ac:dyDescent="0.25">
      <c r="A426">
        <v>20379</v>
      </c>
      <c r="B426">
        <v>0</v>
      </c>
      <c r="C426" s="5">
        <v>7.0357899999999898</v>
      </c>
      <c r="D426">
        <v>12</v>
      </c>
      <c r="E426" s="3">
        <f t="shared" si="15"/>
        <v>4.6096456720979146E-4</v>
      </c>
    </row>
    <row r="427" spans="1:6" x14ac:dyDescent="0.25">
      <c r="A427">
        <v>20502</v>
      </c>
      <c r="B427">
        <v>0</v>
      </c>
      <c r="C427" s="5">
        <v>7.0320366666666603</v>
      </c>
      <c r="D427">
        <v>12</v>
      </c>
      <c r="E427" s="3">
        <f t="shared" si="15"/>
        <v>4.6071865968901662E-4</v>
      </c>
    </row>
    <row r="428" spans="1:6" x14ac:dyDescent="0.25">
      <c r="A428">
        <v>20424</v>
      </c>
      <c r="B428">
        <v>0</v>
      </c>
      <c r="C428" s="5">
        <v>6.9595466666666601</v>
      </c>
      <c r="D428">
        <v>12</v>
      </c>
      <c r="E428" s="3">
        <f t="shared" si="15"/>
        <v>4.5596932500491748E-4</v>
      </c>
    </row>
    <row r="429" spans="1:6" x14ac:dyDescent="0.25">
      <c r="A429">
        <v>20544</v>
      </c>
      <c r="B429">
        <v>1</v>
      </c>
      <c r="C429" s="5">
        <v>6.9509233333333302</v>
      </c>
      <c r="D429">
        <v>12</v>
      </c>
      <c r="E429" s="3">
        <f t="shared" si="15"/>
        <v>1.5844275157028607E-2</v>
      </c>
      <c r="F429" t="str">
        <f t="shared" si="16"/>
        <v/>
      </c>
    </row>
    <row r="430" spans="1:6" x14ac:dyDescent="0.25">
      <c r="A430">
        <v>20514</v>
      </c>
      <c r="B430">
        <v>0</v>
      </c>
      <c r="C430" s="5">
        <v>6.9163166666666598</v>
      </c>
      <c r="D430">
        <v>12</v>
      </c>
      <c r="E430" s="3">
        <f t="shared" si="15"/>
        <v>4.5313702070924074E-4</v>
      </c>
    </row>
    <row r="431" spans="1:6" x14ac:dyDescent="0.25">
      <c r="A431">
        <v>20612</v>
      </c>
      <c r="B431">
        <v>0</v>
      </c>
      <c r="C431" s="5">
        <v>6.8226799999999903</v>
      </c>
      <c r="D431">
        <v>12</v>
      </c>
      <c r="E431" s="3">
        <f t="shared" si="15"/>
        <v>4.4700221771981538E-4</v>
      </c>
    </row>
    <row r="432" spans="1:6" x14ac:dyDescent="0.25">
      <c r="A432">
        <v>20589</v>
      </c>
      <c r="B432">
        <v>0</v>
      </c>
      <c r="C432" s="5">
        <v>6.8189700000000002</v>
      </c>
      <c r="D432">
        <v>12</v>
      </c>
      <c r="E432" s="3">
        <f t="shared" si="15"/>
        <v>4.4675914927343711E-4</v>
      </c>
    </row>
    <row r="433" spans="1:6" x14ac:dyDescent="0.25">
      <c r="A433">
        <v>20520</v>
      </c>
      <c r="B433">
        <v>7</v>
      </c>
      <c r="C433" s="5">
        <v>6.7885999999999997</v>
      </c>
      <c r="D433">
        <v>12</v>
      </c>
      <c r="E433" s="3">
        <f t="shared" si="15"/>
        <v>1.0247423779985426E-3</v>
      </c>
      <c r="F433" t="str">
        <f t="shared" si="16"/>
        <v>Sí</v>
      </c>
    </row>
    <row r="434" spans="1:6" x14ac:dyDescent="0.25">
      <c r="A434">
        <v>20480</v>
      </c>
      <c r="B434">
        <v>0</v>
      </c>
      <c r="C434" s="5">
        <v>6.7714433333333304</v>
      </c>
      <c r="D434">
        <v>12</v>
      </c>
      <c r="E434" s="3">
        <f t="shared" si="15"/>
        <v>4.4364533983186404E-4</v>
      </c>
    </row>
    <row r="435" spans="1:6" x14ac:dyDescent="0.25">
      <c r="A435">
        <v>20497</v>
      </c>
      <c r="B435">
        <v>0</v>
      </c>
      <c r="C435" s="5">
        <v>6.7163233333333299</v>
      </c>
      <c r="D435">
        <v>12</v>
      </c>
      <c r="E435" s="3">
        <f t="shared" si="15"/>
        <v>4.4003403719994864E-4</v>
      </c>
    </row>
    <row r="436" spans="1:6" x14ac:dyDescent="0.25">
      <c r="A436">
        <v>20772</v>
      </c>
      <c r="B436" t="s">
        <v>21</v>
      </c>
      <c r="C436" s="5">
        <v>6.6487600000000002</v>
      </c>
      <c r="D436">
        <v>0</v>
      </c>
      <c r="E436" s="3">
        <f t="shared" si="15"/>
        <v>2.8865518348134668E-3</v>
      </c>
      <c r="F436" t="str">
        <f t="shared" si="16"/>
        <v/>
      </c>
    </row>
    <row r="437" spans="1:6" x14ac:dyDescent="0.25">
      <c r="A437">
        <v>20570</v>
      </c>
      <c r="B437">
        <v>0</v>
      </c>
      <c r="C437" s="5">
        <v>6.46824333333333</v>
      </c>
      <c r="D437">
        <v>12</v>
      </c>
      <c r="E437" s="3">
        <f t="shared" si="15"/>
        <v>4.2378055467227156E-4</v>
      </c>
    </row>
    <row r="438" spans="1:6" x14ac:dyDescent="0.25">
      <c r="A438">
        <v>20536</v>
      </c>
      <c r="B438">
        <v>0</v>
      </c>
      <c r="C438" s="5">
        <v>6.3581199999999898</v>
      </c>
      <c r="D438">
        <v>12</v>
      </c>
      <c r="E438" s="3">
        <f t="shared" si="15"/>
        <v>4.1656559307027619E-4</v>
      </c>
    </row>
    <row r="439" spans="1:6" x14ac:dyDescent="0.25">
      <c r="A439">
        <v>20362</v>
      </c>
      <c r="B439">
        <v>1</v>
      </c>
      <c r="C439" s="5">
        <v>6.3167733333333302</v>
      </c>
      <c r="D439">
        <v>12</v>
      </c>
      <c r="E439" s="3">
        <f t="shared" si="15"/>
        <v>1.4398762581361725E-2</v>
      </c>
      <c r="F439" t="str">
        <f t="shared" si="16"/>
        <v/>
      </c>
    </row>
    <row r="440" spans="1:6" x14ac:dyDescent="0.25">
      <c r="A440">
        <v>20505</v>
      </c>
      <c r="B440">
        <v>0</v>
      </c>
      <c r="C440" s="5">
        <v>6.23312666666666</v>
      </c>
      <c r="D440">
        <v>12</v>
      </c>
      <c r="E440" s="3">
        <f t="shared" si="15"/>
        <v>4.0837639216972238E-4</v>
      </c>
    </row>
    <row r="441" spans="1:6" x14ac:dyDescent="0.25">
      <c r="A441">
        <v>20646</v>
      </c>
      <c r="B441">
        <v>0</v>
      </c>
      <c r="C441" s="5">
        <v>6.2106333333333303</v>
      </c>
      <c r="D441">
        <v>12</v>
      </c>
      <c r="E441" s="3">
        <f t="shared" si="15"/>
        <v>4.0690269416777746E-4</v>
      </c>
    </row>
    <row r="442" spans="1:6" x14ac:dyDescent="0.25">
      <c r="A442">
        <v>20539</v>
      </c>
      <c r="B442">
        <v>0</v>
      </c>
      <c r="C442" s="5">
        <v>6.1916766666666598</v>
      </c>
      <c r="D442">
        <v>12</v>
      </c>
      <c r="E442" s="3">
        <f t="shared" si="15"/>
        <v>4.0566070831462637E-4</v>
      </c>
    </row>
    <row r="443" spans="1:6" x14ac:dyDescent="0.25">
      <c r="A443">
        <v>20822</v>
      </c>
      <c r="B443" t="s">
        <v>21</v>
      </c>
      <c r="C443" s="5">
        <v>6.07405333333333</v>
      </c>
      <c r="D443">
        <v>0</v>
      </c>
      <c r="E443" s="3">
        <f t="shared" si="15"/>
        <v>2.6370435681372429E-3</v>
      </c>
      <c r="F443" t="str">
        <f t="shared" si="16"/>
        <v/>
      </c>
    </row>
    <row r="444" spans="1:6" x14ac:dyDescent="0.25">
      <c r="A444">
        <v>20464</v>
      </c>
      <c r="B444">
        <v>0</v>
      </c>
      <c r="C444" s="5">
        <v>6.0578533333333304</v>
      </c>
      <c r="D444">
        <v>12</v>
      </c>
      <c r="E444" s="3">
        <f t="shared" si="15"/>
        <v>3.9689299140827045E-4</v>
      </c>
    </row>
    <row r="445" spans="1:6" x14ac:dyDescent="0.25">
      <c r="A445">
        <v>20689</v>
      </c>
      <c r="B445">
        <v>2</v>
      </c>
      <c r="C445" s="5">
        <v>5.9914399999999999</v>
      </c>
      <c r="D445">
        <v>2</v>
      </c>
      <c r="E445" s="3">
        <f t="shared" si="15"/>
        <v>2.4221486220833317E-3</v>
      </c>
      <c r="F445" t="str">
        <f t="shared" si="16"/>
        <v/>
      </c>
    </row>
    <row r="446" spans="1:6" x14ac:dyDescent="0.25">
      <c r="A446">
        <v>20415</v>
      </c>
      <c r="B446">
        <v>0</v>
      </c>
      <c r="C446" s="5">
        <v>5.98291666666666</v>
      </c>
      <c r="D446">
        <v>12</v>
      </c>
      <c r="E446" s="3">
        <f t="shared" si="15"/>
        <v>3.919833582159571E-4</v>
      </c>
    </row>
    <row r="447" spans="1:6" x14ac:dyDescent="0.25">
      <c r="A447">
        <v>20532</v>
      </c>
      <c r="B447">
        <v>0</v>
      </c>
      <c r="C447" s="5">
        <v>5.9688400000000001</v>
      </c>
      <c r="D447">
        <v>12</v>
      </c>
      <c r="E447" s="3">
        <f t="shared" si="15"/>
        <v>3.9106109581788195E-4</v>
      </c>
    </row>
    <row r="448" spans="1:6" x14ac:dyDescent="0.25">
      <c r="A448">
        <v>20524</v>
      </c>
      <c r="B448">
        <v>1</v>
      </c>
      <c r="C448" s="5">
        <v>5.7969433333333296</v>
      </c>
      <c r="D448">
        <v>12</v>
      </c>
      <c r="E448" s="3">
        <f t="shared" si="15"/>
        <v>1.3213836613989784E-2</v>
      </c>
      <c r="F448" t="str">
        <f t="shared" si="16"/>
        <v/>
      </c>
    </row>
    <row r="449" spans="1:6" x14ac:dyDescent="0.25">
      <c r="A449">
        <v>20484</v>
      </c>
      <c r="B449">
        <v>0</v>
      </c>
      <c r="C449" s="5">
        <v>5.71268333333333</v>
      </c>
      <c r="D449">
        <v>12</v>
      </c>
      <c r="E449" s="3">
        <f t="shared" si="15"/>
        <v>3.7427845350082806E-4</v>
      </c>
    </row>
    <row r="450" spans="1:6" x14ac:dyDescent="0.25">
      <c r="A450">
        <v>20478</v>
      </c>
      <c r="B450">
        <v>0</v>
      </c>
      <c r="C450" s="5">
        <v>5.6524066666666597</v>
      </c>
      <c r="D450">
        <v>12</v>
      </c>
      <c r="E450" s="3">
        <f t="shared" si="15"/>
        <v>3.7032930101576941E-4</v>
      </c>
    </row>
    <row r="451" spans="1:6" x14ac:dyDescent="0.25">
      <c r="A451">
        <v>20325</v>
      </c>
      <c r="B451">
        <v>0</v>
      </c>
      <c r="C451" s="5">
        <v>5.6434533333333299</v>
      </c>
      <c r="D451">
        <v>12</v>
      </c>
      <c r="E451" s="3">
        <f t="shared" ref="E451:E514" si="17">$C451/SUMIF($B$2:$B$781,B451,$C$2:$C$781)</f>
        <v>3.6974270456745543E-4</v>
      </c>
    </row>
    <row r="452" spans="1:6" x14ac:dyDescent="0.25">
      <c r="A452">
        <v>20605</v>
      </c>
      <c r="B452">
        <v>0</v>
      </c>
      <c r="C452" s="5">
        <v>5.6330999999999998</v>
      </c>
      <c r="D452">
        <v>12</v>
      </c>
      <c r="E452" s="3">
        <f t="shared" si="17"/>
        <v>3.6906438417711157E-4</v>
      </c>
    </row>
    <row r="453" spans="1:6" x14ac:dyDescent="0.25">
      <c r="A453">
        <v>20774</v>
      </c>
      <c r="B453" t="s">
        <v>21</v>
      </c>
      <c r="C453" s="5">
        <v>5.5431033333333302</v>
      </c>
      <c r="D453">
        <v>0</v>
      </c>
      <c r="E453" s="3">
        <f t="shared" si="17"/>
        <v>2.4065322101254919E-3</v>
      </c>
      <c r="F453" t="str">
        <f t="shared" ref="F453:F513" si="18">IF(AND(OR(B453=0,B453=3,B453=7),D453=12),"Sí","")</f>
        <v/>
      </c>
    </row>
    <row r="454" spans="1:6" x14ac:dyDescent="0.25">
      <c r="A454">
        <v>20551</v>
      </c>
      <c r="B454">
        <v>0</v>
      </c>
      <c r="C454" s="5">
        <v>5.5266599999999997</v>
      </c>
      <c r="D454">
        <v>12</v>
      </c>
      <c r="E454" s="3">
        <f t="shared" si="17"/>
        <v>3.6209074389879025E-4</v>
      </c>
    </row>
    <row r="455" spans="1:6" x14ac:dyDescent="0.25">
      <c r="A455">
        <v>20517</v>
      </c>
      <c r="B455">
        <v>0</v>
      </c>
      <c r="C455" s="5">
        <v>5.49003</v>
      </c>
      <c r="D455">
        <v>12</v>
      </c>
      <c r="E455" s="3">
        <f t="shared" si="17"/>
        <v>3.5969085247268253E-4</v>
      </c>
    </row>
    <row r="456" spans="1:6" x14ac:dyDescent="0.25">
      <c r="A456">
        <v>20530</v>
      </c>
      <c r="B456">
        <v>0</v>
      </c>
      <c r="C456" s="5">
        <v>5.4233733333333296</v>
      </c>
      <c r="D456">
        <v>12</v>
      </c>
      <c r="E456" s="3">
        <f t="shared" si="17"/>
        <v>3.5532370088037392E-4</v>
      </c>
    </row>
    <row r="457" spans="1:6" x14ac:dyDescent="0.25">
      <c r="A457">
        <v>20907</v>
      </c>
      <c r="B457" t="s">
        <v>21</v>
      </c>
      <c r="C457" s="5">
        <v>5.4144999999999897</v>
      </c>
      <c r="D457">
        <v>0</v>
      </c>
      <c r="E457" s="3">
        <f t="shared" si="17"/>
        <v>2.35069921452985E-3</v>
      </c>
      <c r="F457" t="str">
        <f t="shared" si="18"/>
        <v/>
      </c>
    </row>
    <row r="458" spans="1:6" x14ac:dyDescent="0.25">
      <c r="A458">
        <v>20680</v>
      </c>
      <c r="B458">
        <v>0</v>
      </c>
      <c r="C458" s="5">
        <v>5.3777866666666601</v>
      </c>
      <c r="D458">
        <v>12</v>
      </c>
      <c r="E458" s="3">
        <f t="shared" si="17"/>
        <v>3.5233699461561353E-4</v>
      </c>
    </row>
    <row r="459" spans="1:6" x14ac:dyDescent="0.25">
      <c r="A459">
        <v>20622</v>
      </c>
      <c r="B459">
        <v>0</v>
      </c>
      <c r="C459" s="5">
        <v>5.1829266666666598</v>
      </c>
      <c r="D459">
        <v>12</v>
      </c>
      <c r="E459" s="3">
        <f t="shared" si="17"/>
        <v>3.3957033222709705E-4</v>
      </c>
    </row>
    <row r="460" spans="1:6" x14ac:dyDescent="0.25">
      <c r="A460">
        <v>20234</v>
      </c>
      <c r="B460">
        <v>0</v>
      </c>
      <c r="C460" s="5">
        <v>5.1582933333333303</v>
      </c>
      <c r="D460">
        <v>12</v>
      </c>
      <c r="E460" s="3">
        <f t="shared" si="17"/>
        <v>3.379564276280495E-4</v>
      </c>
    </row>
    <row r="461" spans="1:6" x14ac:dyDescent="0.25">
      <c r="A461">
        <v>20624</v>
      </c>
      <c r="B461">
        <v>0</v>
      </c>
      <c r="C461" s="5">
        <v>5.1149699999999996</v>
      </c>
      <c r="D461">
        <v>12</v>
      </c>
      <c r="E461" s="3">
        <f t="shared" si="17"/>
        <v>3.3511800840290432E-4</v>
      </c>
    </row>
    <row r="462" spans="1:6" x14ac:dyDescent="0.25">
      <c r="A462">
        <v>20637</v>
      </c>
      <c r="B462">
        <v>0</v>
      </c>
      <c r="C462" s="5">
        <v>5.0585033333333298</v>
      </c>
      <c r="D462">
        <v>12</v>
      </c>
      <c r="E462" s="3">
        <f t="shared" si="17"/>
        <v>3.3141847607436964E-4</v>
      </c>
    </row>
    <row r="463" spans="1:6" x14ac:dyDescent="0.25">
      <c r="A463">
        <v>20667</v>
      </c>
      <c r="B463">
        <v>0</v>
      </c>
      <c r="C463" s="5">
        <v>5.0214766666666604</v>
      </c>
      <c r="D463">
        <v>12</v>
      </c>
      <c r="E463" s="3">
        <f t="shared" si="17"/>
        <v>3.2899259619801995E-4</v>
      </c>
    </row>
    <row r="464" spans="1:6" x14ac:dyDescent="0.25">
      <c r="A464">
        <v>20265</v>
      </c>
      <c r="B464">
        <v>0</v>
      </c>
      <c r="C464" s="5">
        <v>4.9737066666666596</v>
      </c>
      <c r="D464">
        <v>12</v>
      </c>
      <c r="E464" s="3">
        <f t="shared" si="17"/>
        <v>3.2586284426176088E-4</v>
      </c>
    </row>
    <row r="465" spans="1:6" x14ac:dyDescent="0.25">
      <c r="A465">
        <v>20578</v>
      </c>
      <c r="B465">
        <v>0</v>
      </c>
      <c r="C465" s="5">
        <v>4.8857600000000003</v>
      </c>
      <c r="D465">
        <v>12</v>
      </c>
      <c r="E465" s="3">
        <f t="shared" si="17"/>
        <v>3.2010083357958581E-4</v>
      </c>
    </row>
    <row r="466" spans="1:6" x14ac:dyDescent="0.25">
      <c r="A466">
        <v>20560</v>
      </c>
      <c r="B466">
        <v>0</v>
      </c>
      <c r="C466" s="5">
        <v>4.8836966666666601</v>
      </c>
      <c r="D466">
        <v>12</v>
      </c>
      <c r="E466" s="3">
        <f t="shared" si="17"/>
        <v>3.1996564996026054E-4</v>
      </c>
    </row>
    <row r="467" spans="1:6" x14ac:dyDescent="0.25">
      <c r="A467">
        <v>20661</v>
      </c>
      <c r="B467">
        <v>0</v>
      </c>
      <c r="C467" s="5">
        <v>4.8830533333333301</v>
      </c>
      <c r="D467">
        <v>12</v>
      </c>
      <c r="E467" s="3">
        <f t="shared" si="17"/>
        <v>3.1992350062499464E-4</v>
      </c>
    </row>
    <row r="468" spans="1:6" x14ac:dyDescent="0.25">
      <c r="A468">
        <v>20574</v>
      </c>
      <c r="B468">
        <v>0</v>
      </c>
      <c r="C468" s="5">
        <v>4.8826266666666598</v>
      </c>
      <c r="D468">
        <v>12</v>
      </c>
      <c r="E468" s="3">
        <f t="shared" si="17"/>
        <v>3.1989554666170917E-4</v>
      </c>
    </row>
    <row r="469" spans="1:6" x14ac:dyDescent="0.25">
      <c r="A469">
        <v>20565</v>
      </c>
      <c r="B469">
        <v>7</v>
      </c>
      <c r="C469" s="5">
        <v>4.8772033333333296</v>
      </c>
      <c r="D469">
        <v>12</v>
      </c>
      <c r="E469" s="3">
        <f t="shared" si="17"/>
        <v>7.3621614792187119E-4</v>
      </c>
      <c r="F469" t="str">
        <f t="shared" si="18"/>
        <v>Sí</v>
      </c>
    </row>
    <row r="470" spans="1:6" x14ac:dyDescent="0.25">
      <c r="A470">
        <v>20628</v>
      </c>
      <c r="B470">
        <v>0</v>
      </c>
      <c r="C470" s="5">
        <v>4.69987333333333</v>
      </c>
      <c r="D470">
        <v>12</v>
      </c>
      <c r="E470" s="3">
        <f t="shared" si="17"/>
        <v>3.0792207798141237E-4</v>
      </c>
    </row>
    <row r="471" spans="1:6" x14ac:dyDescent="0.25">
      <c r="A471">
        <v>20657</v>
      </c>
      <c r="B471">
        <v>0</v>
      </c>
      <c r="C471" s="5">
        <v>4.67598</v>
      </c>
      <c r="D471">
        <v>12</v>
      </c>
      <c r="E471" s="3">
        <f t="shared" si="17"/>
        <v>3.0635665603743768E-4</v>
      </c>
    </row>
    <row r="472" spans="1:6" x14ac:dyDescent="0.25">
      <c r="A472">
        <v>20639</v>
      </c>
      <c r="B472">
        <v>0</v>
      </c>
      <c r="C472" s="5">
        <v>4.5663099999999996</v>
      </c>
      <c r="D472">
        <v>12</v>
      </c>
      <c r="E472" s="3">
        <f t="shared" si="17"/>
        <v>2.9917139552143335E-4</v>
      </c>
    </row>
    <row r="473" spans="1:6" x14ac:dyDescent="0.25">
      <c r="A473">
        <v>20696</v>
      </c>
      <c r="B473">
        <v>0</v>
      </c>
      <c r="C473" s="5">
        <v>4.5431133333333298</v>
      </c>
      <c r="D473">
        <v>12</v>
      </c>
      <c r="E473" s="3">
        <f t="shared" si="17"/>
        <v>2.9765161715813494E-4</v>
      </c>
    </row>
    <row r="474" spans="1:6" x14ac:dyDescent="0.25">
      <c r="A474">
        <v>20672</v>
      </c>
      <c r="B474">
        <v>1</v>
      </c>
      <c r="C474" s="5">
        <v>4.4624199999999998</v>
      </c>
      <c r="D474">
        <v>12</v>
      </c>
      <c r="E474" s="3">
        <f t="shared" si="17"/>
        <v>1.0171858752515032E-2</v>
      </c>
      <c r="F474" t="str">
        <f t="shared" si="18"/>
        <v/>
      </c>
    </row>
    <row r="475" spans="1:6" x14ac:dyDescent="0.25">
      <c r="A475">
        <v>20409</v>
      </c>
      <c r="B475">
        <v>0</v>
      </c>
      <c r="C475" s="5">
        <v>4.4367433333333297</v>
      </c>
      <c r="D475">
        <v>12</v>
      </c>
      <c r="E475" s="3">
        <f t="shared" si="17"/>
        <v>2.9068256307691512E-4</v>
      </c>
    </row>
    <row r="476" spans="1:6" x14ac:dyDescent="0.25">
      <c r="A476">
        <v>20642</v>
      </c>
      <c r="B476">
        <v>0</v>
      </c>
      <c r="C476" s="5">
        <v>4.4290466666666601</v>
      </c>
      <c r="D476">
        <v>12</v>
      </c>
      <c r="E476" s="3">
        <f t="shared" si="17"/>
        <v>2.9017829978608933E-4</v>
      </c>
    </row>
    <row r="477" spans="1:6" x14ac:dyDescent="0.25">
      <c r="A477">
        <v>20568</v>
      </c>
      <c r="B477">
        <v>0</v>
      </c>
      <c r="C477" s="5">
        <v>4.4198700000000004</v>
      </c>
      <c r="D477">
        <v>12</v>
      </c>
      <c r="E477" s="3">
        <f t="shared" si="17"/>
        <v>2.8957707118511836E-4</v>
      </c>
    </row>
    <row r="478" spans="1:6" x14ac:dyDescent="0.25">
      <c r="A478">
        <v>20600</v>
      </c>
      <c r="B478">
        <v>0</v>
      </c>
      <c r="C478" s="5">
        <v>4.4006400000000001</v>
      </c>
      <c r="D478">
        <v>12</v>
      </c>
      <c r="E478" s="3">
        <f t="shared" si="17"/>
        <v>2.8831717732423788E-4</v>
      </c>
    </row>
    <row r="479" spans="1:6" x14ac:dyDescent="0.25">
      <c r="A479">
        <v>20599</v>
      </c>
      <c r="B479">
        <v>0</v>
      </c>
      <c r="C479" s="5">
        <v>4.3499100000000004</v>
      </c>
      <c r="D479">
        <v>12</v>
      </c>
      <c r="E479" s="3">
        <f t="shared" si="17"/>
        <v>2.8499349476768736E-4</v>
      </c>
    </row>
    <row r="480" spans="1:6" x14ac:dyDescent="0.25">
      <c r="A480">
        <v>20658</v>
      </c>
      <c r="B480">
        <v>0</v>
      </c>
      <c r="C480" s="5">
        <v>4.3164333333333298</v>
      </c>
      <c r="D480">
        <v>12</v>
      </c>
      <c r="E480" s="3">
        <f t="shared" si="17"/>
        <v>2.8280020060148452E-4</v>
      </c>
    </row>
    <row r="481" spans="1:6" x14ac:dyDescent="0.25">
      <c r="A481">
        <v>20714</v>
      </c>
      <c r="B481">
        <v>0</v>
      </c>
      <c r="C481" s="5">
        <v>4.3112966666666601</v>
      </c>
      <c r="D481">
        <v>12</v>
      </c>
      <c r="E481" s="3">
        <f t="shared" si="17"/>
        <v>2.8246366109037027E-4</v>
      </c>
    </row>
    <row r="482" spans="1:6" x14ac:dyDescent="0.25">
      <c r="A482">
        <v>20579</v>
      </c>
      <c r="B482">
        <v>0</v>
      </c>
      <c r="C482" s="5">
        <v>4.30786333333333</v>
      </c>
      <c r="D482">
        <v>12</v>
      </c>
      <c r="E482" s="3">
        <f t="shared" si="17"/>
        <v>2.8223871904205938E-4</v>
      </c>
    </row>
    <row r="483" spans="1:6" x14ac:dyDescent="0.25">
      <c r="A483">
        <v>20654</v>
      </c>
      <c r="B483">
        <v>0</v>
      </c>
      <c r="C483" s="5">
        <v>4.2432966666666596</v>
      </c>
      <c r="D483">
        <v>12</v>
      </c>
      <c r="E483" s="3">
        <f t="shared" si="17"/>
        <v>2.780084981917809E-4</v>
      </c>
    </row>
    <row r="484" spans="1:6" x14ac:dyDescent="0.25">
      <c r="A484">
        <v>20552</v>
      </c>
      <c r="B484">
        <v>0</v>
      </c>
      <c r="C484" s="5">
        <v>4.20153</v>
      </c>
      <c r="D484">
        <v>12</v>
      </c>
      <c r="E484" s="3">
        <f t="shared" si="17"/>
        <v>2.7527206725455958E-4</v>
      </c>
    </row>
    <row r="485" spans="1:6" x14ac:dyDescent="0.25">
      <c r="A485">
        <v>20699</v>
      </c>
      <c r="B485">
        <v>0</v>
      </c>
      <c r="C485" s="5">
        <v>4.1941666666666597</v>
      </c>
      <c r="D485">
        <v>12</v>
      </c>
      <c r="E485" s="3">
        <f t="shared" si="17"/>
        <v>2.7478964299755012E-4</v>
      </c>
    </row>
    <row r="486" spans="1:6" x14ac:dyDescent="0.25">
      <c r="A486">
        <v>20572</v>
      </c>
      <c r="B486">
        <v>0</v>
      </c>
      <c r="C486" s="5">
        <v>4.18268666666666</v>
      </c>
      <c r="D486">
        <v>12</v>
      </c>
      <c r="E486" s="3">
        <f t="shared" si="17"/>
        <v>2.7403750667290592E-4</v>
      </c>
    </row>
    <row r="487" spans="1:6" x14ac:dyDescent="0.25">
      <c r="A487">
        <v>20927</v>
      </c>
      <c r="B487" t="s">
        <v>21</v>
      </c>
      <c r="C487" s="5">
        <v>4.1631566666666604</v>
      </c>
      <c r="D487">
        <v>0</v>
      </c>
      <c r="E487" s="3">
        <f t="shared" si="17"/>
        <v>1.8074298838855012E-3</v>
      </c>
      <c r="F487" t="str">
        <f t="shared" si="18"/>
        <v/>
      </c>
    </row>
    <row r="488" spans="1:6" x14ac:dyDescent="0.25">
      <c r="A488">
        <v>20693</v>
      </c>
      <c r="B488">
        <v>0</v>
      </c>
      <c r="C488" s="5">
        <v>4.1351566666666599</v>
      </c>
      <c r="D488">
        <v>12</v>
      </c>
      <c r="E488" s="3">
        <f t="shared" si="17"/>
        <v>2.7092347884099491E-4</v>
      </c>
    </row>
    <row r="489" spans="1:6" x14ac:dyDescent="0.25">
      <c r="A489">
        <v>20508</v>
      </c>
      <c r="B489">
        <v>0</v>
      </c>
      <c r="C489" s="5">
        <v>4.0988233333333302</v>
      </c>
      <c r="D489">
        <v>12</v>
      </c>
      <c r="E489" s="3">
        <f t="shared" si="17"/>
        <v>2.6854302415498416E-4</v>
      </c>
    </row>
    <row r="490" spans="1:6" x14ac:dyDescent="0.25">
      <c r="A490">
        <v>20904</v>
      </c>
      <c r="B490" t="s">
        <v>21</v>
      </c>
      <c r="C490" s="5">
        <v>4.0118200000000002</v>
      </c>
      <c r="D490">
        <v>0</v>
      </c>
      <c r="E490" s="3">
        <f t="shared" si="17"/>
        <v>1.7417272366488431E-3</v>
      </c>
      <c r="F490" t="str">
        <f t="shared" si="18"/>
        <v/>
      </c>
    </row>
    <row r="491" spans="1:6" x14ac:dyDescent="0.25">
      <c r="A491">
        <v>20652</v>
      </c>
      <c r="B491">
        <v>7</v>
      </c>
      <c r="C491" s="5">
        <v>3.9774799999999999</v>
      </c>
      <c r="D491">
        <v>12</v>
      </c>
      <c r="E491" s="3">
        <f t="shared" si="17"/>
        <v>6.0040248558489867E-4</v>
      </c>
      <c r="F491" t="str">
        <f t="shared" si="18"/>
        <v>Sí</v>
      </c>
    </row>
    <row r="492" spans="1:6" x14ac:dyDescent="0.25">
      <c r="A492">
        <v>20606</v>
      </c>
      <c r="B492">
        <v>0</v>
      </c>
      <c r="C492" s="5">
        <v>3.9637799999999999</v>
      </c>
      <c r="D492">
        <v>12</v>
      </c>
      <c r="E492" s="3">
        <f t="shared" si="17"/>
        <v>2.5969537638485937E-4</v>
      </c>
    </row>
    <row r="493" spans="1:6" x14ac:dyDescent="0.25">
      <c r="A493">
        <v>20859</v>
      </c>
      <c r="B493" t="s">
        <v>21</v>
      </c>
      <c r="C493" s="5">
        <v>3.9460066666666598</v>
      </c>
      <c r="D493">
        <v>0</v>
      </c>
      <c r="E493" s="3">
        <f t="shared" si="17"/>
        <v>1.7131544504317825E-3</v>
      </c>
      <c r="F493" t="str">
        <f t="shared" si="18"/>
        <v/>
      </c>
    </row>
    <row r="494" spans="1:6" x14ac:dyDescent="0.25">
      <c r="A494">
        <v>20705</v>
      </c>
      <c r="B494">
        <v>0</v>
      </c>
      <c r="C494" s="5">
        <v>3.9196733333333298</v>
      </c>
      <c r="D494">
        <v>12</v>
      </c>
      <c r="E494" s="3">
        <f t="shared" si="17"/>
        <v>2.5680563543024475E-4</v>
      </c>
    </row>
    <row r="495" spans="1:6" x14ac:dyDescent="0.25">
      <c r="A495">
        <v>20785</v>
      </c>
      <c r="B495" t="s">
        <v>21</v>
      </c>
      <c r="C495" s="5">
        <v>3.9137933333333299</v>
      </c>
      <c r="D495">
        <v>0</v>
      </c>
      <c r="E495" s="3">
        <f t="shared" si="17"/>
        <v>1.6991690672266764E-3</v>
      </c>
      <c r="F495" t="str">
        <f t="shared" si="18"/>
        <v/>
      </c>
    </row>
    <row r="496" spans="1:6" x14ac:dyDescent="0.25">
      <c r="A496">
        <v>20583</v>
      </c>
      <c r="B496">
        <v>0</v>
      </c>
      <c r="C496" s="5">
        <v>3.9116399999999998</v>
      </c>
      <c r="D496">
        <v>12</v>
      </c>
      <c r="E496" s="3">
        <f t="shared" si="17"/>
        <v>2.5627931471526453E-4</v>
      </c>
    </row>
    <row r="497" spans="1:6" x14ac:dyDescent="0.25">
      <c r="A497">
        <v>20783</v>
      </c>
      <c r="B497">
        <v>2</v>
      </c>
      <c r="C497" s="5">
        <v>3.8607499999999999</v>
      </c>
      <c r="D497">
        <v>5</v>
      </c>
      <c r="E497" s="3">
        <f t="shared" si="17"/>
        <v>1.5607784260058056E-3</v>
      </c>
      <c r="F497" t="str">
        <f t="shared" si="18"/>
        <v/>
      </c>
    </row>
    <row r="498" spans="1:6" x14ac:dyDescent="0.25">
      <c r="A498">
        <v>20910</v>
      </c>
      <c r="B498" t="s">
        <v>21</v>
      </c>
      <c r="C498" s="5">
        <v>3.85243</v>
      </c>
      <c r="D498">
        <v>0</v>
      </c>
      <c r="E498" s="3">
        <f t="shared" si="17"/>
        <v>1.6725282436109055E-3</v>
      </c>
      <c r="F498" t="str">
        <f t="shared" si="18"/>
        <v/>
      </c>
    </row>
    <row r="499" spans="1:6" x14ac:dyDescent="0.25">
      <c r="A499">
        <v>20596</v>
      </c>
      <c r="B499">
        <v>0</v>
      </c>
      <c r="C499" s="5">
        <v>3.8283533333333302</v>
      </c>
      <c r="D499">
        <v>12</v>
      </c>
      <c r="E499" s="3">
        <f t="shared" si="17"/>
        <v>2.5082261372584509E-4</v>
      </c>
    </row>
    <row r="500" spans="1:6" x14ac:dyDescent="0.25">
      <c r="A500">
        <v>20602</v>
      </c>
      <c r="B500">
        <v>0</v>
      </c>
      <c r="C500" s="5">
        <v>3.7973599999999998</v>
      </c>
      <c r="D500">
        <v>12</v>
      </c>
      <c r="E500" s="3">
        <f t="shared" si="17"/>
        <v>2.4879202036157648E-4</v>
      </c>
    </row>
    <row r="501" spans="1:6" x14ac:dyDescent="0.25">
      <c r="A501">
        <v>20666</v>
      </c>
      <c r="B501">
        <v>7</v>
      </c>
      <c r="C501" s="5">
        <v>3.7419199999999999</v>
      </c>
      <c r="D501">
        <v>10</v>
      </c>
      <c r="E501" s="3">
        <f t="shared" si="17"/>
        <v>5.6484459226943792E-4</v>
      </c>
      <c r="F501" t="str">
        <f t="shared" si="18"/>
        <v/>
      </c>
    </row>
    <row r="502" spans="1:6" x14ac:dyDescent="0.25">
      <c r="A502">
        <v>20917</v>
      </c>
      <c r="B502">
        <v>2</v>
      </c>
      <c r="C502" s="5">
        <v>3.7134266666666602</v>
      </c>
      <c r="D502">
        <v>3</v>
      </c>
      <c r="E502" s="3">
        <f t="shared" si="17"/>
        <v>1.5012202882569384E-3</v>
      </c>
      <c r="F502" t="str">
        <f t="shared" si="18"/>
        <v/>
      </c>
    </row>
    <row r="503" spans="1:6" x14ac:dyDescent="0.25">
      <c r="A503">
        <v>20706</v>
      </c>
      <c r="B503">
        <v>0</v>
      </c>
      <c r="C503" s="5">
        <v>3.7055433333333299</v>
      </c>
      <c r="D503">
        <v>12</v>
      </c>
      <c r="E503" s="3">
        <f t="shared" si="17"/>
        <v>2.4277645849678982E-4</v>
      </c>
    </row>
    <row r="504" spans="1:6" x14ac:dyDescent="0.25">
      <c r="A504">
        <v>20933</v>
      </c>
      <c r="B504" t="s">
        <v>21</v>
      </c>
      <c r="C504" s="5">
        <v>3.6728699999999899</v>
      </c>
      <c r="D504">
        <v>0</v>
      </c>
      <c r="E504" s="3">
        <f t="shared" si="17"/>
        <v>1.5945724672768017E-3</v>
      </c>
      <c r="F504" t="str">
        <f t="shared" si="18"/>
        <v/>
      </c>
    </row>
    <row r="505" spans="1:6" x14ac:dyDescent="0.25">
      <c r="A505">
        <v>20737</v>
      </c>
      <c r="B505">
        <v>0</v>
      </c>
      <c r="C505" s="5">
        <v>3.6388833333333301</v>
      </c>
      <c r="D505">
        <v>12</v>
      </c>
      <c r="E505" s="3">
        <f t="shared" si="17"/>
        <v>2.3840908851414328E-4</v>
      </c>
    </row>
    <row r="506" spans="1:6" x14ac:dyDescent="0.25">
      <c r="A506">
        <v>20853</v>
      </c>
      <c r="B506">
        <v>2</v>
      </c>
      <c r="C506" s="5">
        <v>3.6341633333333299</v>
      </c>
      <c r="D506">
        <v>5</v>
      </c>
      <c r="E506" s="3">
        <f t="shared" si="17"/>
        <v>1.4691766437215583E-3</v>
      </c>
      <c r="F506" t="str">
        <f t="shared" si="18"/>
        <v/>
      </c>
    </row>
    <row r="507" spans="1:6" x14ac:dyDescent="0.25">
      <c r="A507">
        <v>20912</v>
      </c>
      <c r="B507" t="s">
        <v>21</v>
      </c>
      <c r="C507" s="5">
        <v>3.6167433333333299</v>
      </c>
      <c r="D507">
        <v>0</v>
      </c>
      <c r="E507" s="3">
        <f t="shared" si="17"/>
        <v>1.5702051367296604E-3</v>
      </c>
      <c r="F507" t="str">
        <f t="shared" si="18"/>
        <v/>
      </c>
    </row>
    <row r="508" spans="1:6" x14ac:dyDescent="0.25">
      <c r="A508">
        <v>20928</v>
      </c>
      <c r="B508" t="s">
        <v>21</v>
      </c>
      <c r="C508" s="5">
        <v>3.5933633333333299</v>
      </c>
      <c r="D508">
        <v>0</v>
      </c>
      <c r="E508" s="3">
        <f t="shared" si="17"/>
        <v>1.5600547354671784E-3</v>
      </c>
      <c r="F508" t="str">
        <f t="shared" si="18"/>
        <v/>
      </c>
    </row>
    <row r="509" spans="1:6" x14ac:dyDescent="0.25">
      <c r="A509">
        <v>20758</v>
      </c>
      <c r="B509">
        <v>0</v>
      </c>
      <c r="C509" s="5">
        <v>3.5914766666666602</v>
      </c>
      <c r="D509">
        <v>12</v>
      </c>
      <c r="E509" s="3">
        <f t="shared" si="17"/>
        <v>2.3530314112474418E-4</v>
      </c>
    </row>
    <row r="510" spans="1:6" x14ac:dyDescent="0.25">
      <c r="A510">
        <v>20701</v>
      </c>
      <c r="B510">
        <v>0</v>
      </c>
      <c r="C510" s="5">
        <v>3.5860699999999999</v>
      </c>
      <c r="D510">
        <v>12</v>
      </c>
      <c r="E510" s="3">
        <f t="shared" si="17"/>
        <v>2.3494891199623909E-4</v>
      </c>
    </row>
    <row r="511" spans="1:6" x14ac:dyDescent="0.25">
      <c r="A511">
        <v>20827</v>
      </c>
      <c r="B511" t="s">
        <v>21</v>
      </c>
      <c r="C511" s="5">
        <v>3.4968966666666601</v>
      </c>
      <c r="D511">
        <v>0</v>
      </c>
      <c r="E511" s="3">
        <f t="shared" si="17"/>
        <v>1.5181738383277096E-3</v>
      </c>
      <c r="F511" t="str">
        <f t="shared" si="18"/>
        <v/>
      </c>
    </row>
    <row r="512" spans="1:6" x14ac:dyDescent="0.25">
      <c r="A512">
        <v>20757</v>
      </c>
      <c r="B512" t="s">
        <v>21</v>
      </c>
      <c r="C512" s="5">
        <v>3.4924366666666602</v>
      </c>
      <c r="D512">
        <v>0</v>
      </c>
      <c r="E512" s="3">
        <f t="shared" si="17"/>
        <v>1.5162375342374331E-3</v>
      </c>
      <c r="F512" t="str">
        <f t="shared" si="18"/>
        <v/>
      </c>
    </row>
    <row r="513" spans="1:6" x14ac:dyDescent="0.25">
      <c r="A513">
        <v>20920</v>
      </c>
      <c r="B513" t="s">
        <v>21</v>
      </c>
      <c r="C513" s="5">
        <v>3.48667333333333</v>
      </c>
      <c r="D513">
        <v>0</v>
      </c>
      <c r="E513" s="3">
        <f t="shared" si="17"/>
        <v>1.5137353894152457E-3</v>
      </c>
      <c r="F513" t="str">
        <f t="shared" si="18"/>
        <v/>
      </c>
    </row>
    <row r="514" spans="1:6" x14ac:dyDescent="0.25">
      <c r="A514">
        <v>20640</v>
      </c>
      <c r="B514">
        <v>0</v>
      </c>
      <c r="C514" s="5">
        <v>3.4493999999999998</v>
      </c>
      <c r="D514">
        <v>12</v>
      </c>
      <c r="E514" s="3">
        <f t="shared" si="17"/>
        <v>2.2599468974108904E-4</v>
      </c>
    </row>
    <row r="515" spans="1:6" x14ac:dyDescent="0.25">
      <c r="A515">
        <v>20708</v>
      </c>
      <c r="B515">
        <v>0</v>
      </c>
      <c r="C515" s="5">
        <v>3.2774033333333299</v>
      </c>
      <c r="D515">
        <v>12</v>
      </c>
      <c r="E515" s="3">
        <f t="shared" ref="E515:E578" si="19">$C515/SUMIF($B$2:$B$781,B515,$C$2:$C$781)</f>
        <v>2.1472596668205396E-4</v>
      </c>
    </row>
    <row r="516" spans="1:6" x14ac:dyDescent="0.25">
      <c r="A516">
        <v>20700</v>
      </c>
      <c r="B516">
        <v>2</v>
      </c>
      <c r="C516" s="5">
        <v>3.2757133333333299</v>
      </c>
      <c r="D516">
        <v>3</v>
      </c>
      <c r="E516" s="3">
        <f t="shared" si="19"/>
        <v>1.3242667099517518E-3</v>
      </c>
      <c r="F516" t="str">
        <f t="shared" ref="F516:F577" si="20">IF(AND(OR(B516=0,B516=3,B516=7),D516=12),"Sí","")</f>
        <v/>
      </c>
    </row>
    <row r="517" spans="1:6" x14ac:dyDescent="0.25">
      <c r="A517">
        <v>20811</v>
      </c>
      <c r="B517">
        <v>2</v>
      </c>
      <c r="C517" s="5">
        <v>3.26749</v>
      </c>
      <c r="D517">
        <v>9</v>
      </c>
      <c r="E517" s="3">
        <f t="shared" si="19"/>
        <v>1.3209422778449032E-3</v>
      </c>
      <c r="F517" t="str">
        <f t="shared" si="20"/>
        <v/>
      </c>
    </row>
    <row r="518" spans="1:6" x14ac:dyDescent="0.25">
      <c r="A518">
        <v>20946</v>
      </c>
      <c r="B518" t="s">
        <v>21</v>
      </c>
      <c r="C518" s="5">
        <v>3.25684</v>
      </c>
      <c r="D518">
        <v>0</v>
      </c>
      <c r="E518" s="3">
        <f t="shared" si="19"/>
        <v>1.4139535007571171E-3</v>
      </c>
      <c r="F518" t="str">
        <f t="shared" si="20"/>
        <v/>
      </c>
    </row>
    <row r="519" spans="1:6" x14ac:dyDescent="0.25">
      <c r="A519">
        <v>20653</v>
      </c>
      <c r="B519">
        <v>5</v>
      </c>
      <c r="C519" s="5">
        <v>3.2378199999999899</v>
      </c>
      <c r="D519">
        <v>12</v>
      </c>
      <c r="E519" s="3">
        <f t="shared" si="19"/>
        <v>1.412313487631171E-2</v>
      </c>
      <c r="F519" t="str">
        <f t="shared" si="20"/>
        <v/>
      </c>
    </row>
    <row r="520" spans="1:6" x14ac:dyDescent="0.25">
      <c r="A520">
        <v>20739</v>
      </c>
      <c r="B520">
        <v>0</v>
      </c>
      <c r="C520" s="5">
        <v>3.19450999999999</v>
      </c>
      <c r="D520">
        <v>12</v>
      </c>
      <c r="E520" s="3">
        <f t="shared" si="19"/>
        <v>2.0929503575253786E-4</v>
      </c>
    </row>
    <row r="521" spans="1:6" x14ac:dyDescent="0.25">
      <c r="A521">
        <v>20924</v>
      </c>
      <c r="B521" t="s">
        <v>21</v>
      </c>
      <c r="C521" s="5">
        <v>3.1460733333333302</v>
      </c>
      <c r="D521">
        <v>0</v>
      </c>
      <c r="E521" s="3">
        <f t="shared" si="19"/>
        <v>1.3658642743595863E-3</v>
      </c>
      <c r="F521" t="str">
        <f t="shared" si="20"/>
        <v/>
      </c>
    </row>
    <row r="522" spans="1:6" x14ac:dyDescent="0.25">
      <c r="A522">
        <v>20809</v>
      </c>
      <c r="B522">
        <v>0</v>
      </c>
      <c r="C522" s="5">
        <v>3.1397266666666601</v>
      </c>
      <c r="D522">
        <v>12</v>
      </c>
      <c r="E522" s="3">
        <f t="shared" si="19"/>
        <v>2.0570579054477752E-4</v>
      </c>
    </row>
    <row r="523" spans="1:6" x14ac:dyDescent="0.25">
      <c r="A523">
        <v>20899</v>
      </c>
      <c r="B523" t="s">
        <v>21</v>
      </c>
      <c r="C523" s="5">
        <v>3.1324433333333301</v>
      </c>
      <c r="D523">
        <v>0</v>
      </c>
      <c r="E523" s="3">
        <f t="shared" si="19"/>
        <v>1.359946824863965E-3</v>
      </c>
      <c r="F523" t="str">
        <f t="shared" si="20"/>
        <v/>
      </c>
    </row>
    <row r="524" spans="1:6" x14ac:dyDescent="0.25">
      <c r="A524">
        <v>20962</v>
      </c>
      <c r="B524" t="s">
        <v>21</v>
      </c>
      <c r="C524" s="5">
        <v>3.1318999999999999</v>
      </c>
      <c r="D524">
        <v>0</v>
      </c>
      <c r="E524" s="3">
        <f t="shared" si="19"/>
        <v>1.35971093729542E-3</v>
      </c>
      <c r="F524" t="str">
        <f t="shared" si="20"/>
        <v/>
      </c>
    </row>
    <row r="525" spans="1:6" x14ac:dyDescent="0.25">
      <c r="A525">
        <v>20733</v>
      </c>
      <c r="B525">
        <v>0</v>
      </c>
      <c r="C525" s="5">
        <v>3.07517666666666</v>
      </c>
      <c r="D525">
        <v>12</v>
      </c>
      <c r="E525" s="3">
        <f t="shared" si="19"/>
        <v>2.0147666164619014E-4</v>
      </c>
    </row>
    <row r="526" spans="1:6" x14ac:dyDescent="0.25">
      <c r="A526">
        <v>20744</v>
      </c>
      <c r="B526">
        <v>0</v>
      </c>
      <c r="C526" s="5">
        <v>3.04822333333333</v>
      </c>
      <c r="D526">
        <v>12</v>
      </c>
      <c r="E526" s="3">
        <f t="shared" si="19"/>
        <v>1.997107573717789E-4</v>
      </c>
    </row>
    <row r="527" spans="1:6" x14ac:dyDescent="0.25">
      <c r="A527">
        <v>20632</v>
      </c>
      <c r="B527">
        <v>0</v>
      </c>
      <c r="C527" s="5">
        <v>2.9809599999999898</v>
      </c>
      <c r="D527">
        <v>12</v>
      </c>
      <c r="E527" s="3">
        <f t="shared" si="19"/>
        <v>1.9530385873792384E-4</v>
      </c>
    </row>
    <row r="528" spans="1:6" x14ac:dyDescent="0.25">
      <c r="A528">
        <v>20629</v>
      </c>
      <c r="B528">
        <v>0</v>
      </c>
      <c r="C528" s="5">
        <v>2.96146333333333</v>
      </c>
      <c r="D528">
        <v>12</v>
      </c>
      <c r="E528" s="3">
        <f t="shared" si="19"/>
        <v>1.9402649364999052E-4</v>
      </c>
    </row>
    <row r="529" spans="1:6" x14ac:dyDescent="0.25">
      <c r="A529">
        <v>20749</v>
      </c>
      <c r="B529">
        <v>0</v>
      </c>
      <c r="C529" s="5">
        <v>2.9209499999999999</v>
      </c>
      <c r="D529">
        <v>12</v>
      </c>
      <c r="E529" s="3">
        <f t="shared" si="19"/>
        <v>1.9137217747991942E-4</v>
      </c>
    </row>
    <row r="530" spans="1:6" x14ac:dyDescent="0.25">
      <c r="A530">
        <v>20777</v>
      </c>
      <c r="B530">
        <v>0</v>
      </c>
      <c r="C530" s="5">
        <v>2.91107</v>
      </c>
      <c r="D530">
        <v>12</v>
      </c>
      <c r="E530" s="3">
        <f t="shared" si="19"/>
        <v>1.9072486851759497E-4</v>
      </c>
    </row>
    <row r="531" spans="1:6" x14ac:dyDescent="0.25">
      <c r="A531">
        <v>20751</v>
      </c>
      <c r="B531">
        <v>0</v>
      </c>
      <c r="C531" s="5">
        <v>2.8954</v>
      </c>
      <c r="D531">
        <v>12</v>
      </c>
      <c r="E531" s="3">
        <f t="shared" si="19"/>
        <v>1.8969821553787593E-4</v>
      </c>
    </row>
    <row r="532" spans="1:6" x14ac:dyDescent="0.25">
      <c r="A532">
        <v>20655</v>
      </c>
      <c r="B532">
        <v>0</v>
      </c>
      <c r="C532" s="5">
        <v>2.89184333333333</v>
      </c>
      <c r="D532">
        <v>12</v>
      </c>
      <c r="E532" s="3">
        <f t="shared" si="19"/>
        <v>1.8946519304705243E-4</v>
      </c>
    </row>
    <row r="533" spans="1:6" x14ac:dyDescent="0.25">
      <c r="A533">
        <v>20641</v>
      </c>
      <c r="B533">
        <v>0</v>
      </c>
      <c r="C533" s="5">
        <v>2.8812499999999899</v>
      </c>
      <c r="D533">
        <v>12</v>
      </c>
      <c r="E533" s="3">
        <f t="shared" si="19"/>
        <v>1.8877114855235999E-4</v>
      </c>
    </row>
    <row r="534" spans="1:6" x14ac:dyDescent="0.25">
      <c r="A534">
        <v>20817</v>
      </c>
      <c r="B534">
        <v>2</v>
      </c>
      <c r="C534" s="5">
        <v>2.8513333333333302</v>
      </c>
      <c r="D534">
        <v>2</v>
      </c>
      <c r="E534" s="3">
        <f t="shared" si="19"/>
        <v>1.1527033742194865E-3</v>
      </c>
      <c r="F534" t="str">
        <f t="shared" si="20"/>
        <v/>
      </c>
    </row>
    <row r="535" spans="1:6" x14ac:dyDescent="0.25">
      <c r="A535">
        <v>20975</v>
      </c>
      <c r="B535" t="s">
        <v>21</v>
      </c>
      <c r="C535" s="5">
        <v>2.8163133333333299</v>
      </c>
      <c r="D535">
        <v>0</v>
      </c>
      <c r="E535" s="3">
        <f t="shared" si="19"/>
        <v>1.2226993333708772E-3</v>
      </c>
      <c r="F535" t="str">
        <f t="shared" si="20"/>
        <v/>
      </c>
    </row>
    <row r="536" spans="1:6" x14ac:dyDescent="0.25">
      <c r="A536">
        <v>20793</v>
      </c>
      <c r="B536">
        <v>0</v>
      </c>
      <c r="C536" s="5">
        <v>2.7834199999999898</v>
      </c>
      <c r="D536">
        <v>12</v>
      </c>
      <c r="E536" s="3">
        <f t="shared" si="19"/>
        <v>1.8236161051752182E-4</v>
      </c>
    </row>
    <row r="537" spans="1:6" x14ac:dyDescent="0.25">
      <c r="A537">
        <v>20651</v>
      </c>
      <c r="B537">
        <v>5</v>
      </c>
      <c r="C537" s="5">
        <v>2.78047333333333</v>
      </c>
      <c r="D537">
        <v>12</v>
      </c>
      <c r="E537" s="3">
        <f t="shared" si="19"/>
        <v>1.2128222046517333E-2</v>
      </c>
      <c r="F537" t="str">
        <f t="shared" si="20"/>
        <v/>
      </c>
    </row>
    <row r="538" spans="1:6" x14ac:dyDescent="0.25">
      <c r="A538">
        <v>20761</v>
      </c>
      <c r="B538">
        <v>0</v>
      </c>
      <c r="C538" s="5">
        <v>2.7631733333333299</v>
      </c>
      <c r="D538">
        <v>12</v>
      </c>
      <c r="E538" s="3">
        <f t="shared" si="19"/>
        <v>1.8103510760350111E-4</v>
      </c>
    </row>
    <row r="539" spans="1:6" x14ac:dyDescent="0.25">
      <c r="A539">
        <v>20932</v>
      </c>
      <c r="B539" t="s">
        <v>21</v>
      </c>
      <c r="C539" s="5">
        <v>2.7605533333333301</v>
      </c>
      <c r="D539">
        <v>0</v>
      </c>
      <c r="E539" s="3">
        <f t="shared" si="19"/>
        <v>1.198491190753427E-3</v>
      </c>
      <c r="F539" t="str">
        <f t="shared" si="20"/>
        <v/>
      </c>
    </row>
    <row r="540" spans="1:6" x14ac:dyDescent="0.25">
      <c r="A540">
        <v>20677</v>
      </c>
      <c r="B540">
        <v>0</v>
      </c>
      <c r="C540" s="5">
        <v>2.69174333333333</v>
      </c>
      <c r="D540">
        <v>12</v>
      </c>
      <c r="E540" s="3">
        <f t="shared" si="19"/>
        <v>1.7635522104693881E-4</v>
      </c>
    </row>
    <row r="541" spans="1:6" x14ac:dyDescent="0.25">
      <c r="A541">
        <v>20995</v>
      </c>
      <c r="B541" t="s">
        <v>21</v>
      </c>
      <c r="C541" s="5">
        <v>2.6710799999999999</v>
      </c>
      <c r="D541">
        <v>0</v>
      </c>
      <c r="E541" s="3">
        <f t="shared" si="19"/>
        <v>1.1596464415821227E-3</v>
      </c>
      <c r="F541" t="str">
        <f t="shared" si="20"/>
        <v/>
      </c>
    </row>
    <row r="542" spans="1:6" x14ac:dyDescent="0.25">
      <c r="A542">
        <v>20968</v>
      </c>
      <c r="B542" t="s">
        <v>21</v>
      </c>
      <c r="C542" s="5">
        <v>2.6503866666666598</v>
      </c>
      <c r="D542">
        <v>0</v>
      </c>
      <c r="E542" s="3">
        <f t="shared" si="19"/>
        <v>1.1506624536953951E-3</v>
      </c>
      <c r="F542" t="str">
        <f t="shared" si="20"/>
        <v/>
      </c>
    </row>
    <row r="543" spans="1:6" x14ac:dyDescent="0.25">
      <c r="A543">
        <v>21007</v>
      </c>
      <c r="B543" t="s">
        <v>21</v>
      </c>
      <c r="C543" s="5">
        <v>2.6287099999999999</v>
      </c>
      <c r="D543">
        <v>0</v>
      </c>
      <c r="E543" s="3">
        <f t="shared" si="19"/>
        <v>1.141251552724494E-3</v>
      </c>
      <c r="F543" t="str">
        <f t="shared" si="20"/>
        <v/>
      </c>
    </row>
    <row r="544" spans="1:6" x14ac:dyDescent="0.25">
      <c r="A544">
        <v>20908</v>
      </c>
      <c r="B544">
        <v>2</v>
      </c>
      <c r="C544" s="5">
        <v>2.5718899999999998</v>
      </c>
      <c r="D544">
        <v>4</v>
      </c>
      <c r="E544" s="3">
        <f t="shared" si="19"/>
        <v>1.0397333228155336E-3</v>
      </c>
      <c r="F544" t="str">
        <f t="shared" si="20"/>
        <v/>
      </c>
    </row>
    <row r="545" spans="1:6" x14ac:dyDescent="0.25">
      <c r="A545">
        <v>20609</v>
      </c>
      <c r="B545">
        <v>0</v>
      </c>
      <c r="C545" s="5">
        <v>2.5491299999999999</v>
      </c>
      <c r="D545">
        <v>12</v>
      </c>
      <c r="E545" s="3">
        <f t="shared" si="19"/>
        <v>1.6701160881883872E-4</v>
      </c>
    </row>
    <row r="546" spans="1:6" x14ac:dyDescent="0.25">
      <c r="A546">
        <v>20614</v>
      </c>
      <c r="B546">
        <v>0</v>
      </c>
      <c r="C546" s="5">
        <v>2.5359699999999998</v>
      </c>
      <c r="D546">
        <v>12</v>
      </c>
      <c r="E546" s="3">
        <f t="shared" si="19"/>
        <v>1.6614940376375879E-4</v>
      </c>
    </row>
    <row r="547" spans="1:6" x14ac:dyDescent="0.25">
      <c r="A547">
        <v>20617</v>
      </c>
      <c r="B547">
        <v>0</v>
      </c>
      <c r="C547" s="5">
        <v>2.53369</v>
      </c>
      <c r="D547">
        <v>12</v>
      </c>
      <c r="E547" s="3">
        <f t="shared" si="19"/>
        <v>1.6600002477245316E-4</v>
      </c>
    </row>
    <row r="548" spans="1:6" x14ac:dyDescent="0.25">
      <c r="A548">
        <v>20697</v>
      </c>
      <c r="B548">
        <v>0</v>
      </c>
      <c r="C548" s="5">
        <v>2.5155400000000001</v>
      </c>
      <c r="D548">
        <v>12</v>
      </c>
      <c r="E548" s="3">
        <f t="shared" si="19"/>
        <v>1.6481088938113849E-4</v>
      </c>
    </row>
    <row r="549" spans="1:6" x14ac:dyDescent="0.25">
      <c r="A549">
        <v>20664</v>
      </c>
      <c r="B549">
        <v>0</v>
      </c>
      <c r="C549" s="5">
        <v>2.4791133333333302</v>
      </c>
      <c r="D549">
        <v>12</v>
      </c>
      <c r="E549" s="3">
        <f t="shared" si="19"/>
        <v>1.6242431976565868E-4</v>
      </c>
    </row>
    <row r="550" spans="1:6" x14ac:dyDescent="0.25">
      <c r="A550">
        <v>20735</v>
      </c>
      <c r="B550">
        <v>0</v>
      </c>
      <c r="C550" s="5">
        <v>2.4735433333333301</v>
      </c>
      <c r="D550">
        <v>12</v>
      </c>
      <c r="E550" s="3">
        <f t="shared" si="19"/>
        <v>1.6205938951058304E-4</v>
      </c>
    </row>
    <row r="551" spans="1:6" x14ac:dyDescent="0.25">
      <c r="A551">
        <v>20807</v>
      </c>
      <c r="B551">
        <v>0</v>
      </c>
      <c r="C551" s="5">
        <v>2.46464333333333</v>
      </c>
      <c r="D551">
        <v>12</v>
      </c>
      <c r="E551" s="3">
        <f t="shared" si="19"/>
        <v>1.6147628730767943E-4</v>
      </c>
    </row>
    <row r="552" spans="1:6" x14ac:dyDescent="0.25">
      <c r="A552">
        <v>20835</v>
      </c>
      <c r="B552">
        <v>2</v>
      </c>
      <c r="C552" s="5">
        <v>2.4460799999999998</v>
      </c>
      <c r="D552">
        <v>2</v>
      </c>
      <c r="E552" s="3">
        <f t="shared" si="19"/>
        <v>9.8887234145807949E-4</v>
      </c>
      <c r="F552" t="str">
        <f t="shared" si="20"/>
        <v/>
      </c>
    </row>
    <row r="553" spans="1:6" x14ac:dyDescent="0.25">
      <c r="A553">
        <v>20302</v>
      </c>
      <c r="B553">
        <v>0</v>
      </c>
      <c r="C553" s="5">
        <v>2.4269733333333301</v>
      </c>
      <c r="D553">
        <v>12</v>
      </c>
      <c r="E553" s="3">
        <f t="shared" si="19"/>
        <v>1.5900825809606384E-4</v>
      </c>
    </row>
    <row r="554" spans="1:6" x14ac:dyDescent="0.25">
      <c r="A554">
        <v>20902</v>
      </c>
      <c r="B554">
        <v>2</v>
      </c>
      <c r="C554" s="5">
        <v>2.3908999999999998</v>
      </c>
      <c r="D554">
        <v>4</v>
      </c>
      <c r="E554" s="3">
        <f t="shared" si="19"/>
        <v>9.6656482257003959E-4</v>
      </c>
      <c r="F554" t="str">
        <f t="shared" si="20"/>
        <v/>
      </c>
    </row>
    <row r="555" spans="1:6" x14ac:dyDescent="0.25">
      <c r="A555">
        <v>20831</v>
      </c>
      <c r="B555">
        <v>0</v>
      </c>
      <c r="C555" s="5">
        <v>2.3883700000000001</v>
      </c>
      <c r="D555">
        <v>12</v>
      </c>
      <c r="E555" s="3">
        <f t="shared" si="19"/>
        <v>1.5647907958976195E-4</v>
      </c>
    </row>
    <row r="556" spans="1:6" x14ac:dyDescent="0.25">
      <c r="A556">
        <v>20756</v>
      </c>
      <c r="B556">
        <v>0</v>
      </c>
      <c r="C556" s="5">
        <v>2.3856533333333299</v>
      </c>
      <c r="D556">
        <v>12</v>
      </c>
      <c r="E556" s="3">
        <f t="shared" si="19"/>
        <v>1.5630109146415631E-4</v>
      </c>
    </row>
    <row r="557" spans="1:6" x14ac:dyDescent="0.25">
      <c r="A557">
        <v>20942</v>
      </c>
      <c r="B557" t="s">
        <v>21</v>
      </c>
      <c r="C557" s="5">
        <v>2.34510666666666</v>
      </c>
      <c r="D557">
        <v>0</v>
      </c>
      <c r="E557" s="3">
        <f t="shared" si="19"/>
        <v>1.0181254777582498E-3</v>
      </c>
      <c r="F557" t="str">
        <f t="shared" si="20"/>
        <v/>
      </c>
    </row>
    <row r="558" spans="1:6" x14ac:dyDescent="0.25">
      <c r="A558">
        <v>20644</v>
      </c>
      <c r="B558">
        <v>0</v>
      </c>
      <c r="C558" s="5">
        <v>2.3423400000000001</v>
      </c>
      <c r="D558">
        <v>12</v>
      </c>
      <c r="E558" s="3">
        <f t="shared" si="19"/>
        <v>1.5346332741002566E-4</v>
      </c>
    </row>
    <row r="559" spans="1:6" x14ac:dyDescent="0.25">
      <c r="A559">
        <v>20750</v>
      </c>
      <c r="B559">
        <v>0</v>
      </c>
      <c r="C559" s="5">
        <v>2.2615599999999998</v>
      </c>
      <c r="D559">
        <v>12</v>
      </c>
      <c r="E559" s="3">
        <f t="shared" si="19"/>
        <v>1.4817085595490731E-4</v>
      </c>
    </row>
    <row r="560" spans="1:6" x14ac:dyDescent="0.25">
      <c r="A560">
        <v>20742</v>
      </c>
      <c r="B560">
        <v>0</v>
      </c>
      <c r="C560" s="5">
        <v>2.19956</v>
      </c>
      <c r="D560">
        <v>12</v>
      </c>
      <c r="E560" s="3">
        <f t="shared" si="19"/>
        <v>1.4410879566501705E-4</v>
      </c>
    </row>
    <row r="561" spans="1:6" x14ac:dyDescent="0.25">
      <c r="A561">
        <v>20305</v>
      </c>
      <c r="B561">
        <v>0</v>
      </c>
      <c r="C561" s="5">
        <v>2.1775333333333302</v>
      </c>
      <c r="D561">
        <v>12</v>
      </c>
      <c r="E561" s="3">
        <f t="shared" si="19"/>
        <v>1.4266567231041496E-4</v>
      </c>
    </row>
    <row r="562" spans="1:6" x14ac:dyDescent="0.25">
      <c r="A562">
        <v>20786</v>
      </c>
      <c r="B562">
        <v>5</v>
      </c>
      <c r="C562" s="5">
        <v>2.1700300000000001</v>
      </c>
      <c r="D562">
        <v>12</v>
      </c>
      <c r="E562" s="3">
        <f t="shared" si="19"/>
        <v>9.4655127139997887E-3</v>
      </c>
      <c r="F562" t="str">
        <f t="shared" si="20"/>
        <v/>
      </c>
    </row>
    <row r="563" spans="1:6" x14ac:dyDescent="0.25">
      <c r="A563">
        <v>21035</v>
      </c>
      <c r="B563" t="s">
        <v>21</v>
      </c>
      <c r="C563" s="5">
        <v>2.16906</v>
      </c>
      <c r="D563">
        <v>0</v>
      </c>
      <c r="E563" s="3">
        <f t="shared" si="19"/>
        <v>9.4169501122322026E-4</v>
      </c>
      <c r="F563" t="str">
        <f t="shared" si="20"/>
        <v/>
      </c>
    </row>
    <row r="564" spans="1:6" x14ac:dyDescent="0.25">
      <c r="A564">
        <v>20810</v>
      </c>
      <c r="B564">
        <v>0</v>
      </c>
      <c r="C564" s="5">
        <v>2.1103666666666601</v>
      </c>
      <c r="D564">
        <v>12</v>
      </c>
      <c r="E564" s="3">
        <f t="shared" si="19"/>
        <v>1.3826510699636694E-4</v>
      </c>
    </row>
    <row r="565" spans="1:6" x14ac:dyDescent="0.25">
      <c r="A565">
        <v>20555</v>
      </c>
      <c r="B565">
        <v>0</v>
      </c>
      <c r="C565" s="5">
        <v>2.0803933333333302</v>
      </c>
      <c r="D565">
        <v>12</v>
      </c>
      <c r="E565" s="3">
        <f t="shared" si="19"/>
        <v>1.363013410755772E-4</v>
      </c>
    </row>
    <row r="566" spans="1:6" x14ac:dyDescent="0.25">
      <c r="A566">
        <v>20862</v>
      </c>
      <c r="B566">
        <v>3</v>
      </c>
      <c r="C566" s="5">
        <v>2.0704199999999999</v>
      </c>
      <c r="D566">
        <v>12</v>
      </c>
      <c r="E566" s="3">
        <f t="shared" si="19"/>
        <v>6.2516339334224298E-4</v>
      </c>
      <c r="F566" t="str">
        <f t="shared" si="20"/>
        <v>Sí</v>
      </c>
    </row>
    <row r="567" spans="1:6" x14ac:dyDescent="0.25">
      <c r="A567">
        <v>20724</v>
      </c>
      <c r="B567">
        <v>0</v>
      </c>
      <c r="C567" s="5">
        <v>2.0660033333333301</v>
      </c>
      <c r="D567">
        <v>12</v>
      </c>
      <c r="E567" s="3">
        <f t="shared" si="19"/>
        <v>1.3535854998571395E-4</v>
      </c>
    </row>
    <row r="568" spans="1:6" x14ac:dyDescent="0.25">
      <c r="A568">
        <v>20715</v>
      </c>
      <c r="B568">
        <v>0</v>
      </c>
      <c r="C568" s="5">
        <v>2.0442199999999899</v>
      </c>
      <c r="D568">
        <v>12</v>
      </c>
      <c r="E568" s="3">
        <f t="shared" si="19"/>
        <v>1.3393136912579775E-4</v>
      </c>
    </row>
    <row r="569" spans="1:6" x14ac:dyDescent="0.25">
      <c r="A569">
        <v>20820</v>
      </c>
      <c r="B569">
        <v>0</v>
      </c>
      <c r="C569" s="5">
        <v>2.0235766666666599</v>
      </c>
      <c r="D569">
        <v>12</v>
      </c>
      <c r="E569" s="3">
        <f t="shared" si="19"/>
        <v>1.3257887776153504E-4</v>
      </c>
    </row>
    <row r="570" spans="1:6" x14ac:dyDescent="0.25">
      <c r="A570">
        <v>20849</v>
      </c>
      <c r="B570">
        <v>0</v>
      </c>
      <c r="C570" s="5">
        <v>2.0179</v>
      </c>
      <c r="D570">
        <v>12</v>
      </c>
      <c r="E570" s="3">
        <f t="shared" si="19"/>
        <v>1.3220695901563855E-4</v>
      </c>
    </row>
    <row r="571" spans="1:6" x14ac:dyDescent="0.25">
      <c r="A571">
        <v>20775</v>
      </c>
      <c r="B571">
        <v>0</v>
      </c>
      <c r="C571" s="5">
        <v>1.9747399999999999</v>
      </c>
      <c r="D571">
        <v>12</v>
      </c>
      <c r="E571" s="3">
        <f t="shared" si="19"/>
        <v>1.2937924091706331E-4</v>
      </c>
    </row>
    <row r="572" spans="1:6" x14ac:dyDescent="0.25">
      <c r="A572">
        <v>20702</v>
      </c>
      <c r="B572">
        <v>0</v>
      </c>
      <c r="C572" s="5">
        <v>1.9714866666666599</v>
      </c>
      <c r="D572">
        <v>12</v>
      </c>
      <c r="E572" s="3">
        <f t="shared" si="19"/>
        <v>1.2916609194701272E-4</v>
      </c>
    </row>
    <row r="573" spans="1:6" x14ac:dyDescent="0.25">
      <c r="A573">
        <v>20759</v>
      </c>
      <c r="B573">
        <v>0</v>
      </c>
      <c r="C573" s="5">
        <v>1.96989666666666</v>
      </c>
      <c r="D573">
        <v>12</v>
      </c>
      <c r="E573" s="3">
        <f t="shared" si="19"/>
        <v>1.2906191975570747E-4</v>
      </c>
    </row>
    <row r="574" spans="1:6" x14ac:dyDescent="0.25">
      <c r="A574">
        <v>20713</v>
      </c>
      <c r="B574">
        <v>0</v>
      </c>
      <c r="C574" s="5">
        <v>1.8971566666666599</v>
      </c>
      <c r="D574">
        <v>12</v>
      </c>
      <c r="E574" s="3">
        <f t="shared" si="19"/>
        <v>1.2429620579624588E-4</v>
      </c>
    </row>
    <row r="575" spans="1:6" x14ac:dyDescent="0.25">
      <c r="A575">
        <v>20823</v>
      </c>
      <c r="B575">
        <v>0</v>
      </c>
      <c r="C575" s="5">
        <v>1.88991333333333</v>
      </c>
      <c r="D575">
        <v>12</v>
      </c>
      <c r="E575" s="3">
        <f t="shared" si="19"/>
        <v>1.2382164359141107E-4</v>
      </c>
    </row>
    <row r="576" spans="1:6" x14ac:dyDescent="0.25">
      <c r="A576">
        <v>20832</v>
      </c>
      <c r="B576">
        <v>0</v>
      </c>
      <c r="C576" s="5">
        <v>1.8861066666666599</v>
      </c>
      <c r="D576">
        <v>12</v>
      </c>
      <c r="E576" s="3">
        <f t="shared" si="19"/>
        <v>1.2357224182522512E-4</v>
      </c>
    </row>
    <row r="577" spans="1:6" x14ac:dyDescent="0.25">
      <c r="A577">
        <v>21058</v>
      </c>
      <c r="B577" t="s">
        <v>21</v>
      </c>
      <c r="C577" s="5">
        <v>1.8821933333333301</v>
      </c>
      <c r="D577">
        <v>0</v>
      </c>
      <c r="E577" s="3">
        <f t="shared" si="19"/>
        <v>8.1715216368270153E-4</v>
      </c>
      <c r="F577" t="str">
        <f t="shared" si="20"/>
        <v/>
      </c>
    </row>
    <row r="578" spans="1:6" x14ac:dyDescent="0.25">
      <c r="A578">
        <v>20676</v>
      </c>
      <c r="B578">
        <v>0</v>
      </c>
      <c r="C578" s="5">
        <v>1.8727799999999999</v>
      </c>
      <c r="D578">
        <v>12</v>
      </c>
      <c r="E578" s="3">
        <f t="shared" si="19"/>
        <v>1.226991172532373E-4</v>
      </c>
    </row>
    <row r="579" spans="1:6" x14ac:dyDescent="0.25">
      <c r="A579">
        <v>20730</v>
      </c>
      <c r="B579">
        <v>0</v>
      </c>
      <c r="C579" s="5">
        <v>1.8535233333333301</v>
      </c>
      <c r="D579">
        <v>12</v>
      </c>
      <c r="E579" s="3">
        <f t="shared" ref="E579:E642" si="21">$C579/SUMIF($B$2:$B$781,B579,$C$2:$C$781)</f>
        <v>1.2143747626965128E-4</v>
      </c>
    </row>
    <row r="580" spans="1:6" x14ac:dyDescent="0.25">
      <c r="A580">
        <v>20801</v>
      </c>
      <c r="B580">
        <v>0</v>
      </c>
      <c r="C580" s="5">
        <v>1.82866666666666</v>
      </c>
      <c r="D580">
        <v>12</v>
      </c>
      <c r="E580" s="3">
        <f t="shared" si="21"/>
        <v>1.1980893951794611E-4</v>
      </c>
    </row>
    <row r="581" spans="1:6" x14ac:dyDescent="0.25">
      <c r="A581">
        <v>20428</v>
      </c>
      <c r="B581">
        <v>0</v>
      </c>
      <c r="C581" s="5">
        <v>1.80544333333333</v>
      </c>
      <c r="D581">
        <v>12</v>
      </c>
      <c r="E581" s="3">
        <f t="shared" si="21"/>
        <v>1.1828741403194281E-4</v>
      </c>
    </row>
    <row r="582" spans="1:6" x14ac:dyDescent="0.25">
      <c r="A582">
        <v>21027</v>
      </c>
      <c r="B582">
        <v>0</v>
      </c>
      <c r="C582" s="5">
        <v>1.7855666666666601</v>
      </c>
      <c r="D582">
        <v>12</v>
      </c>
      <c r="E582" s="3">
        <f t="shared" si="21"/>
        <v>1.1698515244545787E-4</v>
      </c>
    </row>
    <row r="583" spans="1:6" x14ac:dyDescent="0.25">
      <c r="A583">
        <v>20967</v>
      </c>
      <c r="B583">
        <v>2</v>
      </c>
      <c r="C583" s="5">
        <v>1.77433</v>
      </c>
      <c r="D583">
        <v>4</v>
      </c>
      <c r="E583" s="3">
        <f t="shared" si="21"/>
        <v>7.1730518283102528E-4</v>
      </c>
      <c r="F583" t="str">
        <f t="shared" ref="F583:F637" si="22">IF(AND(OR(B583=0,B583=3,B583=7),D583=12),"Sí","")</f>
        <v/>
      </c>
    </row>
    <row r="584" spans="1:6" x14ac:dyDescent="0.25">
      <c r="A584">
        <v>20838</v>
      </c>
      <c r="B584">
        <v>0</v>
      </c>
      <c r="C584" s="5">
        <v>1.7495066666666601</v>
      </c>
      <c r="D584">
        <v>12</v>
      </c>
      <c r="E584" s="3">
        <f t="shared" si="21"/>
        <v>1.1462260576717653E-4</v>
      </c>
    </row>
    <row r="585" spans="1:6" x14ac:dyDescent="0.25">
      <c r="A585">
        <v>20743</v>
      </c>
      <c r="B585">
        <v>0</v>
      </c>
      <c r="C585" s="5">
        <v>1.74321666666666</v>
      </c>
      <c r="D585">
        <v>12</v>
      </c>
      <c r="E585" s="3">
        <f t="shared" si="21"/>
        <v>1.1421050319905701E-4</v>
      </c>
    </row>
    <row r="586" spans="1:6" x14ac:dyDescent="0.25">
      <c r="A586">
        <v>20865</v>
      </c>
      <c r="B586">
        <v>0</v>
      </c>
      <c r="C586" s="5">
        <v>1.74136</v>
      </c>
      <c r="D586">
        <v>12</v>
      </c>
      <c r="E586" s="3">
        <f t="shared" si="21"/>
        <v>1.1408885978069892E-4</v>
      </c>
    </row>
    <row r="587" spans="1:6" x14ac:dyDescent="0.25">
      <c r="A587">
        <v>20350</v>
      </c>
      <c r="B587">
        <v>0</v>
      </c>
      <c r="C587" s="5">
        <v>1.7320499999999901</v>
      </c>
      <c r="D587">
        <v>12</v>
      </c>
      <c r="E587" s="3">
        <f t="shared" si="21"/>
        <v>1.1347889556620022E-4</v>
      </c>
    </row>
    <row r="588" spans="1:6" x14ac:dyDescent="0.25">
      <c r="A588">
        <v>20826</v>
      </c>
      <c r="B588">
        <v>0</v>
      </c>
      <c r="C588" s="5">
        <v>1.7231399999999999</v>
      </c>
      <c r="D588">
        <v>12</v>
      </c>
      <c r="E588" s="3">
        <f t="shared" si="21"/>
        <v>1.1289513819228277E-4</v>
      </c>
    </row>
    <row r="589" spans="1:6" x14ac:dyDescent="0.25">
      <c r="A589">
        <v>20768</v>
      </c>
      <c r="B589">
        <v>0</v>
      </c>
      <c r="C589" s="5">
        <v>1.7229033333333299</v>
      </c>
      <c r="D589">
        <v>12</v>
      </c>
      <c r="E589" s="3">
        <f t="shared" si="21"/>
        <v>1.1287963247827275E-4</v>
      </c>
    </row>
    <row r="590" spans="1:6" x14ac:dyDescent="0.25">
      <c r="A590">
        <v>20966</v>
      </c>
      <c r="B590" t="s">
        <v>21</v>
      </c>
      <c r="C590" s="5">
        <v>1.7133066666666601</v>
      </c>
      <c r="D590">
        <v>0</v>
      </c>
      <c r="E590" s="3">
        <f t="shared" si="21"/>
        <v>7.4383020326569042E-4</v>
      </c>
      <c r="F590" t="str">
        <f t="shared" si="22"/>
        <v/>
      </c>
    </row>
    <row r="591" spans="1:6" x14ac:dyDescent="0.25">
      <c r="A591">
        <v>20647</v>
      </c>
      <c r="B591">
        <v>0</v>
      </c>
      <c r="C591" s="5">
        <v>1.70966333333333</v>
      </c>
      <c r="D591">
        <v>12</v>
      </c>
      <c r="E591" s="3">
        <f t="shared" si="21"/>
        <v>1.1201218605507683E-4</v>
      </c>
    </row>
    <row r="592" spans="1:6" x14ac:dyDescent="0.25">
      <c r="A592">
        <v>20741</v>
      </c>
      <c r="B592">
        <v>0</v>
      </c>
      <c r="C592" s="5">
        <v>1.7089666666666601</v>
      </c>
      <c r="D592">
        <v>12</v>
      </c>
      <c r="E592" s="3">
        <f t="shared" si="21"/>
        <v>1.1196654247439989E-4</v>
      </c>
    </row>
    <row r="593" spans="1:6" x14ac:dyDescent="0.25">
      <c r="A593">
        <v>20945</v>
      </c>
      <c r="B593">
        <v>4</v>
      </c>
      <c r="C593" s="5">
        <v>1.6938633333333299</v>
      </c>
      <c r="D593">
        <v>12</v>
      </c>
      <c r="E593" s="3">
        <f t="shared" si="21"/>
        <v>1.9594781768549726E-2</v>
      </c>
      <c r="F593" t="str">
        <f t="shared" si="22"/>
        <v/>
      </c>
    </row>
    <row r="594" spans="1:6" x14ac:dyDescent="0.25">
      <c r="A594">
        <v>21114</v>
      </c>
      <c r="B594" t="s">
        <v>21</v>
      </c>
      <c r="C594" s="5">
        <v>1.6925733333333299</v>
      </c>
      <c r="D594">
        <v>0</v>
      </c>
      <c r="E594" s="3">
        <f t="shared" si="21"/>
        <v>7.3482884942300045E-4</v>
      </c>
      <c r="F594" t="str">
        <f t="shared" si="22"/>
        <v/>
      </c>
    </row>
    <row r="595" spans="1:6" x14ac:dyDescent="0.25">
      <c r="A595">
        <v>21039</v>
      </c>
      <c r="B595" t="s">
        <v>21</v>
      </c>
      <c r="C595" s="5">
        <v>1.69184333333333</v>
      </c>
      <c r="D595">
        <v>0</v>
      </c>
      <c r="E595" s="3">
        <f t="shared" si="21"/>
        <v>7.3451192072660995E-4</v>
      </c>
      <c r="F595" t="str">
        <f t="shared" si="22"/>
        <v/>
      </c>
    </row>
    <row r="596" spans="1:6" x14ac:dyDescent="0.25">
      <c r="A596">
        <v>20855</v>
      </c>
      <c r="B596">
        <v>0</v>
      </c>
      <c r="C596" s="5">
        <v>1.65336666666666</v>
      </c>
      <c r="D596">
        <v>12</v>
      </c>
      <c r="E596" s="3">
        <f t="shared" si="21"/>
        <v>1.083237916337886E-4</v>
      </c>
    </row>
    <row r="597" spans="1:6" x14ac:dyDescent="0.25">
      <c r="A597">
        <v>20588</v>
      </c>
      <c r="B597">
        <v>0</v>
      </c>
      <c r="C597" s="5">
        <v>1.6489199999999999</v>
      </c>
      <c r="D597">
        <v>12</v>
      </c>
      <c r="E597" s="3">
        <f t="shared" si="21"/>
        <v>1.080324589226754E-4</v>
      </c>
    </row>
    <row r="598" spans="1:6" x14ac:dyDescent="0.25">
      <c r="A598">
        <v>20789</v>
      </c>
      <c r="B598">
        <v>0</v>
      </c>
      <c r="C598" s="5">
        <v>1.6388466666666599</v>
      </c>
      <c r="D598">
        <v>12</v>
      </c>
      <c r="E598" s="3">
        <f t="shared" si="21"/>
        <v>1.0737248332073688E-4</v>
      </c>
    </row>
    <row r="599" spans="1:6" x14ac:dyDescent="0.25">
      <c r="A599">
        <v>20878</v>
      </c>
      <c r="B599">
        <v>3</v>
      </c>
      <c r="C599" s="5">
        <v>1.63794666666666</v>
      </c>
      <c r="D599">
        <v>12</v>
      </c>
      <c r="E599" s="3">
        <f t="shared" si="21"/>
        <v>4.9457805481348954E-4</v>
      </c>
      <c r="F599" t="str">
        <f t="shared" si="22"/>
        <v>Sí</v>
      </c>
    </row>
    <row r="600" spans="1:6" x14ac:dyDescent="0.25">
      <c r="A600">
        <v>20863</v>
      </c>
      <c r="B600">
        <v>0</v>
      </c>
      <c r="C600" s="5">
        <v>1.6012566666666599</v>
      </c>
      <c r="D600">
        <v>12</v>
      </c>
      <c r="E600" s="3">
        <f t="shared" si="21"/>
        <v>1.0490969547723728E-4</v>
      </c>
    </row>
    <row r="601" spans="1:6" x14ac:dyDescent="0.25">
      <c r="A601">
        <v>20745</v>
      </c>
      <c r="B601">
        <v>0</v>
      </c>
      <c r="C601" s="5">
        <v>1.6005033333333301</v>
      </c>
      <c r="D601">
        <v>12</v>
      </c>
      <c r="E601" s="3">
        <f t="shared" si="21"/>
        <v>1.0486033926081196E-4</v>
      </c>
    </row>
    <row r="602" spans="1:6" x14ac:dyDescent="0.25">
      <c r="A602">
        <v>21110</v>
      </c>
      <c r="B602" t="s">
        <v>21</v>
      </c>
      <c r="C602" s="5">
        <v>1.5821499999999999</v>
      </c>
      <c r="D602">
        <v>0</v>
      </c>
      <c r="E602" s="3">
        <f t="shared" si="21"/>
        <v>6.8688868081418582E-4</v>
      </c>
      <c r="F602" t="str">
        <f t="shared" si="22"/>
        <v/>
      </c>
    </row>
    <row r="603" spans="1:6" x14ac:dyDescent="0.25">
      <c r="A603">
        <v>20721</v>
      </c>
      <c r="B603">
        <v>0</v>
      </c>
      <c r="C603" s="5">
        <v>1.53815666666666</v>
      </c>
      <c r="D603">
        <v>12</v>
      </c>
      <c r="E603" s="3">
        <f t="shared" si="21"/>
        <v>1.0077556637575218E-4</v>
      </c>
    </row>
    <row r="604" spans="1:6" x14ac:dyDescent="0.25">
      <c r="A604">
        <v>21097</v>
      </c>
      <c r="B604" t="s">
        <v>21</v>
      </c>
      <c r="C604" s="5">
        <v>1.5381466666666599</v>
      </c>
      <c r="D604">
        <v>0</v>
      </c>
      <c r="E604" s="3">
        <f t="shared" si="21"/>
        <v>6.6778468208791787E-4</v>
      </c>
      <c r="F604" t="str">
        <f t="shared" si="22"/>
        <v/>
      </c>
    </row>
    <row r="605" spans="1:6" x14ac:dyDescent="0.25">
      <c r="A605">
        <v>20660</v>
      </c>
      <c r="B605">
        <v>0</v>
      </c>
      <c r="C605" s="5">
        <v>1.53538999999999</v>
      </c>
      <c r="D605">
        <v>12</v>
      </c>
      <c r="E605" s="3">
        <f t="shared" si="21"/>
        <v>1.0059430239507406E-4</v>
      </c>
    </row>
    <row r="606" spans="1:6" x14ac:dyDescent="0.25">
      <c r="A606">
        <v>20913</v>
      </c>
      <c r="B606">
        <v>0</v>
      </c>
      <c r="C606" s="5">
        <v>1.51778666666666</v>
      </c>
      <c r="D606">
        <v>12</v>
      </c>
      <c r="E606" s="3">
        <f t="shared" si="21"/>
        <v>9.9440983019218865E-5</v>
      </c>
    </row>
    <row r="607" spans="1:6" x14ac:dyDescent="0.25">
      <c r="A607">
        <v>20788</v>
      </c>
      <c r="B607">
        <v>0</v>
      </c>
      <c r="C607" s="5">
        <v>1.5032066666666599</v>
      </c>
      <c r="D607">
        <v>12</v>
      </c>
      <c r="E607" s="3">
        <f t="shared" si="21"/>
        <v>9.8485743680080154E-5</v>
      </c>
    </row>
    <row r="608" spans="1:6" x14ac:dyDescent="0.25">
      <c r="A608">
        <v>20845</v>
      </c>
      <c r="B608" t="s">
        <v>21</v>
      </c>
      <c r="C608" s="5">
        <v>1.4874666666666601</v>
      </c>
      <c r="D608">
        <v>0</v>
      </c>
      <c r="E608" s="3">
        <f t="shared" si="21"/>
        <v>6.457820158782267E-4</v>
      </c>
      <c r="F608" t="str">
        <f t="shared" si="22"/>
        <v/>
      </c>
    </row>
    <row r="609" spans="1:6" x14ac:dyDescent="0.25">
      <c r="A609">
        <v>20882</v>
      </c>
      <c r="B609">
        <v>0</v>
      </c>
      <c r="C609" s="5">
        <v>1.48068333333333</v>
      </c>
      <c r="D609">
        <v>12</v>
      </c>
      <c r="E609" s="3">
        <f t="shared" si="21"/>
        <v>9.7010080165091736E-5</v>
      </c>
    </row>
    <row r="610" spans="1:6" x14ac:dyDescent="0.25">
      <c r="A610">
        <v>20771</v>
      </c>
      <c r="B610">
        <v>0</v>
      </c>
      <c r="C610" s="5">
        <v>1.4791733333333299</v>
      </c>
      <c r="D610">
        <v>12</v>
      </c>
      <c r="E610" s="3">
        <f t="shared" si="21"/>
        <v>9.6911149341902473E-5</v>
      </c>
    </row>
    <row r="611" spans="1:6" x14ac:dyDescent="0.25">
      <c r="A611">
        <v>21006</v>
      </c>
      <c r="B611" t="s">
        <v>21</v>
      </c>
      <c r="C611" s="5">
        <v>1.4528399999999999</v>
      </c>
      <c r="D611">
        <v>0</v>
      </c>
      <c r="E611" s="3">
        <f t="shared" si="21"/>
        <v>6.3074888666313667E-4</v>
      </c>
      <c r="F611" t="str">
        <f t="shared" si="22"/>
        <v/>
      </c>
    </row>
    <row r="612" spans="1:6" x14ac:dyDescent="0.25">
      <c r="A612">
        <v>20828</v>
      </c>
      <c r="B612">
        <v>0</v>
      </c>
      <c r="C612" s="5">
        <v>1.4500599999999999</v>
      </c>
      <c r="D612">
        <v>12</v>
      </c>
      <c r="E612" s="3">
        <f t="shared" si="21"/>
        <v>9.5003728128359593E-5</v>
      </c>
    </row>
    <row r="613" spans="1:6" x14ac:dyDescent="0.25">
      <c r="A613">
        <v>20818</v>
      </c>
      <c r="B613">
        <v>0</v>
      </c>
      <c r="C613" s="5">
        <v>1.4384566666666601</v>
      </c>
      <c r="D613">
        <v>12</v>
      </c>
      <c r="E613" s="3">
        <f t="shared" si="21"/>
        <v>9.4243511361202811E-5</v>
      </c>
    </row>
    <row r="614" spans="1:6" x14ac:dyDescent="0.25">
      <c r="A614">
        <v>20781</v>
      </c>
      <c r="B614">
        <v>0</v>
      </c>
      <c r="C614" s="5">
        <v>1.4303566666666601</v>
      </c>
      <c r="D614">
        <v>12</v>
      </c>
      <c r="E614" s="3">
        <f t="shared" si="21"/>
        <v>9.3712822839459085E-5</v>
      </c>
    </row>
    <row r="615" spans="1:6" x14ac:dyDescent="0.25">
      <c r="A615">
        <v>21044</v>
      </c>
      <c r="B615" t="s">
        <v>21</v>
      </c>
      <c r="C615" s="5">
        <v>1.4220266666666601</v>
      </c>
      <c r="D615">
        <v>0</v>
      </c>
      <c r="E615" s="3">
        <f t="shared" si="21"/>
        <v>6.1737131191685749E-4</v>
      </c>
      <c r="F615" t="str">
        <f t="shared" si="22"/>
        <v/>
      </c>
    </row>
    <row r="616" spans="1:6" x14ac:dyDescent="0.25">
      <c r="A616">
        <v>21119</v>
      </c>
      <c r="B616" t="s">
        <v>21</v>
      </c>
      <c r="C616" s="5">
        <v>1.41242333333333</v>
      </c>
      <c r="D616">
        <v>0</v>
      </c>
      <c r="E616" s="3">
        <f t="shared" si="21"/>
        <v>6.1320203532187604E-4</v>
      </c>
      <c r="F616" t="str">
        <f t="shared" si="22"/>
        <v/>
      </c>
    </row>
    <row r="617" spans="1:6" x14ac:dyDescent="0.25">
      <c r="A617">
        <v>20830</v>
      </c>
      <c r="B617">
        <v>0</v>
      </c>
      <c r="C617" s="5">
        <v>1.4071899999999999</v>
      </c>
      <c r="D617">
        <v>12</v>
      </c>
      <c r="E617" s="3">
        <f t="shared" si="21"/>
        <v>9.219500998920481E-5</v>
      </c>
    </row>
    <row r="618" spans="1:6" x14ac:dyDescent="0.25">
      <c r="A618">
        <v>20951</v>
      </c>
      <c r="B618">
        <v>4</v>
      </c>
      <c r="C618" s="5">
        <v>1.40632</v>
      </c>
      <c r="D618">
        <v>12</v>
      </c>
      <c r="E618" s="3">
        <f t="shared" si="21"/>
        <v>1.6268451506367243E-2</v>
      </c>
      <c r="F618" t="str">
        <f t="shared" si="22"/>
        <v/>
      </c>
    </row>
    <row r="619" spans="1:6" x14ac:dyDescent="0.25">
      <c r="A619">
        <v>20840</v>
      </c>
      <c r="B619">
        <v>0</v>
      </c>
      <c r="C619" s="5">
        <v>1.4043699999999999</v>
      </c>
      <c r="D619">
        <v>12</v>
      </c>
      <c r="E619" s="3">
        <f t="shared" si="21"/>
        <v>9.201025176311625E-5</v>
      </c>
    </row>
    <row r="620" spans="1:6" x14ac:dyDescent="0.25">
      <c r="A620">
        <v>21111</v>
      </c>
      <c r="B620" t="s">
        <v>21</v>
      </c>
      <c r="C620" s="5">
        <v>1.3955500000000001</v>
      </c>
      <c r="D620">
        <v>0</v>
      </c>
      <c r="E620" s="3">
        <f t="shared" si="21"/>
        <v>6.0587649622996368E-4</v>
      </c>
      <c r="F620" t="str">
        <f t="shared" si="22"/>
        <v/>
      </c>
    </row>
    <row r="621" spans="1:6" x14ac:dyDescent="0.25">
      <c r="A621">
        <v>20847</v>
      </c>
      <c r="B621">
        <v>0</v>
      </c>
      <c r="C621" s="5">
        <v>1.36863333333333</v>
      </c>
      <c r="D621">
        <v>12</v>
      </c>
      <c r="E621" s="3">
        <f t="shared" si="21"/>
        <v>8.9668888947636811E-5</v>
      </c>
    </row>
    <row r="622" spans="1:6" x14ac:dyDescent="0.25">
      <c r="A622">
        <v>20885</v>
      </c>
      <c r="B622">
        <v>0</v>
      </c>
      <c r="C622" s="5">
        <v>1.3642066666666599</v>
      </c>
      <c r="D622">
        <v>12</v>
      </c>
      <c r="E622" s="3">
        <f t="shared" si="21"/>
        <v>8.9378866578551942E-5</v>
      </c>
    </row>
    <row r="623" spans="1:6" x14ac:dyDescent="0.25">
      <c r="A623">
        <v>20870</v>
      </c>
      <c r="B623">
        <v>0</v>
      </c>
      <c r="C623" s="5">
        <v>1.36032333333333</v>
      </c>
      <c r="D623">
        <v>12</v>
      </c>
      <c r="E623" s="3">
        <f t="shared" si="21"/>
        <v>8.9124441834588619E-5</v>
      </c>
    </row>
    <row r="624" spans="1:6" x14ac:dyDescent="0.25">
      <c r="A624">
        <v>20843</v>
      </c>
      <c r="B624">
        <v>7</v>
      </c>
      <c r="C624" s="5">
        <v>1.3462099999999999</v>
      </c>
      <c r="D624">
        <v>12</v>
      </c>
      <c r="E624" s="3">
        <f t="shared" si="21"/>
        <v>2.0321103566058068E-4</v>
      </c>
      <c r="F624" t="str">
        <f t="shared" si="22"/>
        <v>Sí</v>
      </c>
    </row>
    <row r="625" spans="1:6" x14ac:dyDescent="0.25">
      <c r="A625">
        <v>20864</v>
      </c>
      <c r="B625">
        <v>0</v>
      </c>
      <c r="C625" s="5">
        <v>1.3158766666666599</v>
      </c>
      <c r="D625">
        <v>12</v>
      </c>
      <c r="E625" s="3">
        <f t="shared" si="21"/>
        <v>8.621242506548103E-5</v>
      </c>
    </row>
    <row r="626" spans="1:6" x14ac:dyDescent="0.25">
      <c r="A626">
        <v>21109</v>
      </c>
      <c r="B626" t="s">
        <v>21</v>
      </c>
      <c r="C626" s="5">
        <v>1.2985933333333299</v>
      </c>
      <c r="D626">
        <v>0</v>
      </c>
      <c r="E626" s="3">
        <f t="shared" si="21"/>
        <v>5.6378286612990378E-4</v>
      </c>
      <c r="F626" t="str">
        <f t="shared" si="22"/>
        <v/>
      </c>
    </row>
    <row r="627" spans="1:6" x14ac:dyDescent="0.25">
      <c r="A627">
        <v>21079</v>
      </c>
      <c r="B627" t="s">
        <v>21</v>
      </c>
      <c r="C627" s="5">
        <v>1.2771266666666601</v>
      </c>
      <c r="D627">
        <v>0</v>
      </c>
      <c r="E627" s="3">
        <f t="shared" si="21"/>
        <v>5.544631364278233E-4</v>
      </c>
      <c r="F627" t="str">
        <f t="shared" si="22"/>
        <v/>
      </c>
    </row>
    <row r="628" spans="1:6" x14ac:dyDescent="0.25">
      <c r="A628">
        <v>21042</v>
      </c>
      <c r="B628" t="s">
        <v>21</v>
      </c>
      <c r="C628" s="5">
        <v>1.2667200000000001</v>
      </c>
      <c r="D628">
        <v>0</v>
      </c>
      <c r="E628" s="3">
        <f t="shared" si="21"/>
        <v>5.4994509355051383E-4</v>
      </c>
      <c r="F628" t="str">
        <f t="shared" si="22"/>
        <v/>
      </c>
    </row>
    <row r="629" spans="1:6" x14ac:dyDescent="0.25">
      <c r="A629">
        <v>20684</v>
      </c>
      <c r="B629">
        <v>0</v>
      </c>
      <c r="C629" s="5">
        <v>1.25562333333333</v>
      </c>
      <c r="D629">
        <v>12</v>
      </c>
      <c r="E629" s="3">
        <f t="shared" si="21"/>
        <v>8.2264801312790031E-5</v>
      </c>
    </row>
    <row r="630" spans="1:6" x14ac:dyDescent="0.25">
      <c r="A630">
        <v>20914</v>
      </c>
      <c r="B630">
        <v>0</v>
      </c>
      <c r="C630" s="5">
        <v>1.2484999999999999</v>
      </c>
      <c r="D630">
        <v>12</v>
      </c>
      <c r="E630" s="3">
        <f t="shared" si="21"/>
        <v>8.1798101160129202E-5</v>
      </c>
    </row>
    <row r="631" spans="1:6" x14ac:dyDescent="0.25">
      <c r="A631">
        <v>21074</v>
      </c>
      <c r="B631" t="s">
        <v>21</v>
      </c>
      <c r="C631" s="5">
        <v>1.2459233333333299</v>
      </c>
      <c r="D631">
        <v>0</v>
      </c>
      <c r="E631" s="3">
        <f t="shared" si="21"/>
        <v>5.4091624361087389E-4</v>
      </c>
      <c r="F631" t="str">
        <f t="shared" si="22"/>
        <v/>
      </c>
    </row>
    <row r="632" spans="1:6" x14ac:dyDescent="0.25">
      <c r="A632">
        <v>20953</v>
      </c>
      <c r="B632" t="s">
        <v>21</v>
      </c>
      <c r="C632" s="5">
        <v>1.24179666666666</v>
      </c>
      <c r="D632">
        <v>0</v>
      </c>
      <c r="E632" s="3">
        <f t="shared" si="21"/>
        <v>5.3912465582031752E-4</v>
      </c>
      <c r="F632" t="str">
        <f t="shared" si="22"/>
        <v/>
      </c>
    </row>
    <row r="633" spans="1:6" x14ac:dyDescent="0.25">
      <c r="A633">
        <v>20422</v>
      </c>
      <c r="B633">
        <v>0</v>
      </c>
      <c r="C633" s="5">
        <v>1.21376</v>
      </c>
      <c r="D633">
        <v>12</v>
      </c>
      <c r="E633" s="3">
        <f t="shared" si="21"/>
        <v>7.9522037055761646E-5</v>
      </c>
    </row>
    <row r="634" spans="1:6" x14ac:dyDescent="0.25">
      <c r="A634">
        <v>20892</v>
      </c>
      <c r="B634">
        <v>5</v>
      </c>
      <c r="C634" s="5">
        <v>1.2118866666666599</v>
      </c>
      <c r="D634">
        <v>12</v>
      </c>
      <c r="E634" s="3">
        <f t="shared" si="21"/>
        <v>5.28616132093109E-3</v>
      </c>
      <c r="F634" t="str">
        <f t="shared" si="22"/>
        <v/>
      </c>
    </row>
    <row r="635" spans="1:6" x14ac:dyDescent="0.25">
      <c r="A635">
        <v>20997</v>
      </c>
      <c r="B635">
        <v>2</v>
      </c>
      <c r="C635" s="5">
        <v>1.1966933333333301</v>
      </c>
      <c r="D635">
        <v>4</v>
      </c>
      <c r="E635" s="3">
        <f t="shared" si="21"/>
        <v>4.8378505140494354E-4</v>
      </c>
      <c r="F635" t="str">
        <f t="shared" si="22"/>
        <v/>
      </c>
    </row>
    <row r="636" spans="1:6" x14ac:dyDescent="0.25">
      <c r="A636">
        <v>20894</v>
      </c>
      <c r="B636">
        <v>6</v>
      </c>
      <c r="C636" s="5">
        <v>1.1877899999999999</v>
      </c>
      <c r="D636">
        <v>12</v>
      </c>
      <c r="E636" s="3">
        <f t="shared" si="21"/>
        <v>1</v>
      </c>
      <c r="F636" t="str">
        <f t="shared" si="22"/>
        <v/>
      </c>
    </row>
    <row r="637" spans="1:6" x14ac:dyDescent="0.25">
      <c r="A637">
        <v>21033</v>
      </c>
      <c r="B637" t="s">
        <v>21</v>
      </c>
      <c r="C637" s="5">
        <v>1.1877233333333299</v>
      </c>
      <c r="D637">
        <v>0</v>
      </c>
      <c r="E637" s="3">
        <f t="shared" si="21"/>
        <v>5.1564877767946049E-4</v>
      </c>
      <c r="F637" t="str">
        <f t="shared" si="22"/>
        <v/>
      </c>
    </row>
    <row r="638" spans="1:6" x14ac:dyDescent="0.25">
      <c r="A638">
        <v>20398</v>
      </c>
      <c r="B638">
        <v>0</v>
      </c>
      <c r="C638" s="5">
        <v>1.1694533333333299</v>
      </c>
      <c r="D638">
        <v>12</v>
      </c>
      <c r="E638" s="3">
        <f t="shared" si="21"/>
        <v>7.6619192680857048E-5</v>
      </c>
    </row>
    <row r="639" spans="1:6" x14ac:dyDescent="0.25">
      <c r="A639">
        <v>20416</v>
      </c>
      <c r="B639">
        <v>0</v>
      </c>
      <c r="C639" s="5">
        <v>1.1592833333333299</v>
      </c>
      <c r="D639">
        <v>12</v>
      </c>
      <c r="E639" s="3">
        <f t="shared" si="21"/>
        <v>7.5952883759112136E-5</v>
      </c>
    </row>
    <row r="640" spans="1:6" x14ac:dyDescent="0.25">
      <c r="A640">
        <v>20949</v>
      </c>
      <c r="B640">
        <v>0</v>
      </c>
      <c r="C640" s="5">
        <v>1.1546033333333301</v>
      </c>
      <c r="D640">
        <v>12</v>
      </c>
      <c r="E640" s="3">
        <f t="shared" si="21"/>
        <v>7.5646263724326882E-5</v>
      </c>
    </row>
    <row r="641" spans="1:6" x14ac:dyDescent="0.25">
      <c r="A641">
        <v>20803</v>
      </c>
      <c r="B641">
        <v>0</v>
      </c>
      <c r="C641" s="5">
        <v>1.1458999999999999</v>
      </c>
      <c r="D641">
        <v>12</v>
      </c>
      <c r="E641" s="3">
        <f t="shared" si="21"/>
        <v>7.5076046551375287E-5</v>
      </c>
    </row>
    <row r="642" spans="1:6" x14ac:dyDescent="0.25">
      <c r="A642">
        <v>20449</v>
      </c>
      <c r="B642">
        <v>0</v>
      </c>
      <c r="C642" s="5">
        <v>1.13391</v>
      </c>
      <c r="D642">
        <v>12</v>
      </c>
      <c r="E642" s="3">
        <f t="shared" si="21"/>
        <v>7.429049650499167E-5</v>
      </c>
    </row>
    <row r="643" spans="1:6" x14ac:dyDescent="0.25">
      <c r="A643">
        <v>21087</v>
      </c>
      <c r="B643" t="s">
        <v>21</v>
      </c>
      <c r="C643" s="5">
        <v>1.1099066666666599</v>
      </c>
      <c r="D643">
        <v>0</v>
      </c>
      <c r="E643" s="3">
        <f t="shared" ref="E643:E706" si="23">$C643/SUMIF($B$2:$B$781,B643,$C$2:$C$781)</f>
        <v>4.8186475750942219E-4</v>
      </c>
      <c r="F643" t="str">
        <f t="shared" ref="F643:F706" si="24">IF(AND(OR(B643=0,B643=3,B643=7),D643=12),"Sí","")</f>
        <v/>
      </c>
    </row>
    <row r="644" spans="1:6" x14ac:dyDescent="0.25">
      <c r="A644">
        <v>20824</v>
      </c>
      <c r="B644">
        <v>0</v>
      </c>
      <c r="C644" s="5">
        <v>1.10104333333333</v>
      </c>
      <c r="D644">
        <v>9</v>
      </c>
      <c r="E644" s="3">
        <f t="shared" si="23"/>
        <v>7.213716777067328E-5</v>
      </c>
      <c r="F644" t="str">
        <f t="shared" si="24"/>
        <v/>
      </c>
    </row>
    <row r="645" spans="1:6" x14ac:dyDescent="0.25">
      <c r="A645">
        <v>20846</v>
      </c>
      <c r="B645">
        <v>0</v>
      </c>
      <c r="C645" s="5">
        <v>1.0757766666666599</v>
      </c>
      <c r="D645">
        <v>12</v>
      </c>
      <c r="E645" s="3">
        <f t="shared" si="23"/>
        <v>7.0481769007373681E-5</v>
      </c>
    </row>
    <row r="646" spans="1:6" x14ac:dyDescent="0.25">
      <c r="A646">
        <v>20931</v>
      </c>
      <c r="B646">
        <v>0</v>
      </c>
      <c r="C646" s="5">
        <v>1.07450333333333</v>
      </c>
      <c r="D646">
        <v>12</v>
      </c>
      <c r="E646" s="3">
        <f t="shared" si="23"/>
        <v>7.0398343898194439E-5</v>
      </c>
    </row>
    <row r="647" spans="1:6" x14ac:dyDescent="0.25">
      <c r="A647">
        <v>20852</v>
      </c>
      <c r="B647">
        <v>7</v>
      </c>
      <c r="C647" s="5">
        <v>1.07162</v>
      </c>
      <c r="D647">
        <v>12</v>
      </c>
      <c r="E647" s="3">
        <f t="shared" si="23"/>
        <v>1.6176154540123122E-4</v>
      </c>
      <c r="F647" t="str">
        <f t="shared" si="24"/>
        <v>Sí</v>
      </c>
    </row>
    <row r="648" spans="1:6" x14ac:dyDescent="0.25">
      <c r="A648">
        <v>20919</v>
      </c>
      <c r="B648">
        <v>0</v>
      </c>
      <c r="C648" s="5">
        <v>1.0568866666666601</v>
      </c>
      <c r="D648">
        <v>12</v>
      </c>
      <c r="E648" s="3">
        <f t="shared" si="23"/>
        <v>6.924415096098616E-5</v>
      </c>
    </row>
    <row r="649" spans="1:6" x14ac:dyDescent="0.25">
      <c r="A649">
        <v>20879</v>
      </c>
      <c r="B649">
        <v>0</v>
      </c>
      <c r="C649" s="5">
        <v>1.0563133333333301</v>
      </c>
      <c r="D649">
        <v>12</v>
      </c>
      <c r="E649" s="3">
        <f t="shared" si="23"/>
        <v>6.9206587822821805E-5</v>
      </c>
    </row>
    <row r="650" spans="1:6" x14ac:dyDescent="0.25">
      <c r="A650">
        <v>20957</v>
      </c>
      <c r="B650">
        <v>0</v>
      </c>
      <c r="C650" s="5">
        <v>1.03880333333333</v>
      </c>
      <c r="D650">
        <v>12</v>
      </c>
      <c r="E650" s="3">
        <f t="shared" si="23"/>
        <v>6.8059383376435029E-5</v>
      </c>
    </row>
    <row r="651" spans="1:6" x14ac:dyDescent="0.25">
      <c r="A651">
        <v>21092</v>
      </c>
      <c r="B651" t="s">
        <v>21</v>
      </c>
      <c r="C651" s="5">
        <v>1.03338</v>
      </c>
      <c r="D651">
        <v>0</v>
      </c>
      <c r="E651" s="3">
        <f t="shared" si="23"/>
        <v>4.4864078941931127E-4</v>
      </c>
      <c r="F651" t="str">
        <f t="shared" si="24"/>
        <v/>
      </c>
    </row>
    <row r="652" spans="1:6" x14ac:dyDescent="0.25">
      <c r="A652">
        <v>20990</v>
      </c>
      <c r="B652">
        <v>2</v>
      </c>
      <c r="C652" s="5">
        <v>1.0299100000000001</v>
      </c>
      <c r="D652">
        <v>3</v>
      </c>
      <c r="E652" s="3">
        <f t="shared" si="23"/>
        <v>4.1635985462089992E-4</v>
      </c>
      <c r="F652" t="str">
        <f t="shared" si="24"/>
        <v/>
      </c>
    </row>
    <row r="653" spans="1:6" x14ac:dyDescent="0.25">
      <c r="A653">
        <v>20812</v>
      </c>
      <c r="B653">
        <v>0</v>
      </c>
      <c r="C653" s="5">
        <v>1.0177133333333299</v>
      </c>
      <c r="D653">
        <v>12</v>
      </c>
      <c r="E653" s="3">
        <f t="shared" si="23"/>
        <v>6.6677627706857845E-5</v>
      </c>
    </row>
    <row r="654" spans="1:6" x14ac:dyDescent="0.25">
      <c r="A654">
        <v>20877</v>
      </c>
      <c r="B654">
        <v>0</v>
      </c>
      <c r="C654" s="5">
        <v>1.01586</v>
      </c>
      <c r="D654">
        <v>12</v>
      </c>
      <c r="E654" s="3">
        <f t="shared" si="23"/>
        <v>6.6556202678837693E-5</v>
      </c>
    </row>
    <row r="655" spans="1:6" x14ac:dyDescent="0.25">
      <c r="A655">
        <v>20961</v>
      </c>
      <c r="B655">
        <v>0</v>
      </c>
      <c r="C655" s="5">
        <v>0.98836999999999997</v>
      </c>
      <c r="D655">
        <v>12</v>
      </c>
      <c r="E655" s="3">
        <f t="shared" si="23"/>
        <v>6.4755137559981498E-5</v>
      </c>
    </row>
    <row r="656" spans="1:6" x14ac:dyDescent="0.25">
      <c r="A656">
        <v>20429</v>
      </c>
      <c r="B656">
        <v>0</v>
      </c>
      <c r="C656" s="5">
        <v>0.97331999999999896</v>
      </c>
      <c r="D656">
        <v>12</v>
      </c>
      <c r="E656" s="3">
        <f t="shared" si="23"/>
        <v>6.3769105183161286E-5</v>
      </c>
    </row>
    <row r="657" spans="1:6" x14ac:dyDescent="0.25">
      <c r="A657">
        <v>21112</v>
      </c>
      <c r="B657" t="s">
        <v>21</v>
      </c>
      <c r="C657" s="5">
        <v>0.96153666666666604</v>
      </c>
      <c r="D657">
        <v>0</v>
      </c>
      <c r="E657" s="3">
        <f t="shared" si="23"/>
        <v>4.1745008534028745E-4</v>
      </c>
      <c r="F657" t="str">
        <f t="shared" si="24"/>
        <v/>
      </c>
    </row>
    <row r="658" spans="1:6" x14ac:dyDescent="0.25">
      <c r="A658">
        <v>20490</v>
      </c>
      <c r="B658">
        <v>0</v>
      </c>
      <c r="C658" s="5">
        <v>0.95145333333333304</v>
      </c>
      <c r="D658">
        <v>12</v>
      </c>
      <c r="E658" s="3">
        <f t="shared" si="23"/>
        <v>6.2336464564791442E-5</v>
      </c>
    </row>
    <row r="659" spans="1:6" x14ac:dyDescent="0.25">
      <c r="A659">
        <v>20922</v>
      </c>
      <c r="B659">
        <v>0</v>
      </c>
      <c r="C659" s="5">
        <v>0.94568666666666601</v>
      </c>
      <c r="D659">
        <v>12</v>
      </c>
      <c r="E659" s="3">
        <f t="shared" si="23"/>
        <v>6.1958649279763979E-5</v>
      </c>
    </row>
    <row r="660" spans="1:6" x14ac:dyDescent="0.25">
      <c r="A660">
        <v>21040</v>
      </c>
      <c r="B660">
        <v>0</v>
      </c>
      <c r="C660" s="5">
        <v>0.94429666666666601</v>
      </c>
      <c r="D660">
        <v>8</v>
      </c>
      <c r="E660" s="3">
        <f t="shared" si="23"/>
        <v>6.1867580508748706E-5</v>
      </c>
      <c r="F660" t="str">
        <f t="shared" si="24"/>
        <v/>
      </c>
    </row>
    <row r="661" spans="1:6" x14ac:dyDescent="0.25">
      <c r="A661">
        <v>20986</v>
      </c>
      <c r="B661">
        <v>0</v>
      </c>
      <c r="C661" s="5">
        <v>0.93350999999999995</v>
      </c>
      <c r="D661">
        <v>12</v>
      </c>
      <c r="E661" s="3">
        <f t="shared" si="23"/>
        <v>6.1160869374443099E-5</v>
      </c>
    </row>
    <row r="662" spans="1:6" x14ac:dyDescent="0.25">
      <c r="A662">
        <v>20937</v>
      </c>
      <c r="B662">
        <v>0</v>
      </c>
      <c r="C662" s="5">
        <v>0.93252333333333304</v>
      </c>
      <c r="D662">
        <v>12</v>
      </c>
      <c r="E662" s="3">
        <f t="shared" si="23"/>
        <v>6.1096225834345906E-5</v>
      </c>
    </row>
    <row r="663" spans="1:6" x14ac:dyDescent="0.25">
      <c r="A663">
        <v>21146</v>
      </c>
      <c r="B663" t="s">
        <v>21</v>
      </c>
      <c r="C663" s="5">
        <v>0.92845999999999995</v>
      </c>
      <c r="D663">
        <v>0</v>
      </c>
      <c r="E663" s="3">
        <f t="shared" si="23"/>
        <v>4.0308988691890082E-4</v>
      </c>
      <c r="F663" t="str">
        <f t="shared" si="24"/>
        <v/>
      </c>
    </row>
    <row r="664" spans="1:6" x14ac:dyDescent="0.25">
      <c r="A664">
        <v>21073</v>
      </c>
      <c r="B664" t="s">
        <v>21</v>
      </c>
      <c r="C664" s="5">
        <v>0.92745666666666604</v>
      </c>
      <c r="D664">
        <v>0</v>
      </c>
      <c r="E664" s="3">
        <f t="shared" si="23"/>
        <v>4.0265429085673817E-4</v>
      </c>
      <c r="F664" t="str">
        <f t="shared" si="24"/>
        <v/>
      </c>
    </row>
    <row r="665" spans="1:6" x14ac:dyDescent="0.25">
      <c r="A665">
        <v>20886</v>
      </c>
      <c r="B665" t="s">
        <v>21</v>
      </c>
      <c r="C665" s="5">
        <v>0.92300666666666598</v>
      </c>
      <c r="D665">
        <v>0</v>
      </c>
      <c r="E665" s="3">
        <f t="shared" si="23"/>
        <v>4.007223282554531E-4</v>
      </c>
      <c r="F665" t="str">
        <f t="shared" si="24"/>
        <v/>
      </c>
    </row>
    <row r="666" spans="1:6" x14ac:dyDescent="0.25">
      <c r="A666">
        <v>21129</v>
      </c>
      <c r="B666" t="s">
        <v>21</v>
      </c>
      <c r="C666" s="5">
        <v>0.92024999999999901</v>
      </c>
      <c r="D666">
        <v>0</v>
      </c>
      <c r="E666" s="3">
        <f t="shared" si="23"/>
        <v>3.995255244567543E-4</v>
      </c>
      <c r="F666" t="str">
        <f t="shared" si="24"/>
        <v/>
      </c>
    </row>
    <row r="667" spans="1:6" x14ac:dyDescent="0.25">
      <c r="A667">
        <v>20800</v>
      </c>
      <c r="B667">
        <v>0</v>
      </c>
      <c r="C667" s="5">
        <v>0.90458333333333296</v>
      </c>
      <c r="D667">
        <v>12</v>
      </c>
      <c r="E667" s="3">
        <f t="shared" si="23"/>
        <v>5.9265678019837278E-5</v>
      </c>
    </row>
    <row r="668" spans="1:6" x14ac:dyDescent="0.25">
      <c r="A668">
        <v>20670</v>
      </c>
      <c r="B668">
        <v>0</v>
      </c>
      <c r="C668" s="5">
        <v>0.90273000000000003</v>
      </c>
      <c r="D668">
        <v>12</v>
      </c>
      <c r="E668" s="3">
        <f t="shared" si="23"/>
        <v>5.914425299181693E-5</v>
      </c>
    </row>
    <row r="669" spans="1:6" x14ac:dyDescent="0.25">
      <c r="A669">
        <v>21034</v>
      </c>
      <c r="B669">
        <v>0</v>
      </c>
      <c r="C669" s="5">
        <v>0.90095000000000003</v>
      </c>
      <c r="D669">
        <v>8</v>
      </c>
      <c r="E669" s="3">
        <f t="shared" si="23"/>
        <v>5.9027632551236213E-5</v>
      </c>
      <c r="F669" t="str">
        <f t="shared" si="24"/>
        <v/>
      </c>
    </row>
    <row r="670" spans="1:6" x14ac:dyDescent="0.25">
      <c r="A670">
        <v>21140</v>
      </c>
      <c r="B670" t="s">
        <v>21</v>
      </c>
      <c r="C670" s="5">
        <v>0.88344666666666605</v>
      </c>
      <c r="D670">
        <v>0</v>
      </c>
      <c r="E670" s="3">
        <f t="shared" si="23"/>
        <v>3.8354739780447874E-4</v>
      </c>
      <c r="F670" t="str">
        <f t="shared" si="24"/>
        <v/>
      </c>
    </row>
    <row r="671" spans="1:6" x14ac:dyDescent="0.25">
      <c r="A671">
        <v>21022</v>
      </c>
      <c r="B671">
        <v>2</v>
      </c>
      <c r="C671" s="5">
        <v>0.86820666666666602</v>
      </c>
      <c r="D671">
        <v>3</v>
      </c>
      <c r="E671" s="3">
        <f t="shared" si="23"/>
        <v>3.5098834025713816E-4</v>
      </c>
      <c r="F671" t="str">
        <f t="shared" si="24"/>
        <v/>
      </c>
    </row>
    <row r="672" spans="1:6" x14ac:dyDescent="0.25">
      <c r="A672">
        <v>20418</v>
      </c>
      <c r="B672">
        <v>0</v>
      </c>
      <c r="C672" s="5">
        <v>0.86314666666666595</v>
      </c>
      <c r="D672">
        <v>12</v>
      </c>
      <c r="E672" s="3">
        <f t="shared" si="23"/>
        <v>5.6550867726093926E-5</v>
      </c>
    </row>
    <row r="673" spans="1:6" x14ac:dyDescent="0.25">
      <c r="A673">
        <v>20802</v>
      </c>
      <c r="B673">
        <v>0</v>
      </c>
      <c r="C673" s="5">
        <v>0.86173666666666604</v>
      </c>
      <c r="D673">
        <v>12</v>
      </c>
      <c r="E673" s="3">
        <f t="shared" si="23"/>
        <v>5.6458488613049652E-5</v>
      </c>
    </row>
    <row r="674" spans="1:6" x14ac:dyDescent="0.25">
      <c r="A674">
        <v>20901</v>
      </c>
      <c r="B674">
        <v>0</v>
      </c>
      <c r="C674" s="5">
        <v>0.85806666666666598</v>
      </c>
      <c r="D674">
        <v>12</v>
      </c>
      <c r="E674" s="3">
        <f t="shared" si="23"/>
        <v>5.621804085072872E-5</v>
      </c>
    </row>
    <row r="675" spans="1:6" x14ac:dyDescent="0.25">
      <c r="A675">
        <v>21056</v>
      </c>
      <c r="B675">
        <v>2</v>
      </c>
      <c r="C675" s="5">
        <v>0.84559333333333297</v>
      </c>
      <c r="D675">
        <v>3</v>
      </c>
      <c r="E675" s="3">
        <f t="shared" si="23"/>
        <v>3.418464888534616E-4</v>
      </c>
      <c r="F675" t="str">
        <f t="shared" si="24"/>
        <v/>
      </c>
    </row>
    <row r="676" spans="1:6" x14ac:dyDescent="0.25">
      <c r="A676">
        <v>20941</v>
      </c>
      <c r="B676">
        <v>0</v>
      </c>
      <c r="C676" s="5">
        <v>0.84016666666666595</v>
      </c>
      <c r="D676">
        <v>12</v>
      </c>
      <c r="E676" s="3">
        <f t="shared" si="23"/>
        <v>5.5045284734776527E-5</v>
      </c>
    </row>
    <row r="677" spans="1:6" x14ac:dyDescent="0.25">
      <c r="A677">
        <v>20883</v>
      </c>
      <c r="B677">
        <v>0</v>
      </c>
      <c r="C677" s="5">
        <v>0.83936333333333302</v>
      </c>
      <c r="D677">
        <v>12</v>
      </c>
      <c r="E677" s="3">
        <f t="shared" si="23"/>
        <v>5.4992652663278516E-5</v>
      </c>
    </row>
    <row r="678" spans="1:6" x14ac:dyDescent="0.25">
      <c r="A678">
        <v>21014</v>
      </c>
      <c r="B678">
        <v>0</v>
      </c>
      <c r="C678" s="5">
        <v>0.83613333333333295</v>
      </c>
      <c r="D678">
        <v>12</v>
      </c>
      <c r="E678" s="3">
        <f t="shared" si="23"/>
        <v>5.4781032425595516E-5</v>
      </c>
    </row>
    <row r="679" spans="1:6" x14ac:dyDescent="0.25">
      <c r="A679">
        <v>20509</v>
      </c>
      <c r="B679">
        <v>0</v>
      </c>
      <c r="C679" s="5">
        <v>0.80550999999999995</v>
      </c>
      <c r="D679">
        <v>12</v>
      </c>
      <c r="E679" s="3">
        <f t="shared" si="23"/>
        <v>5.277468038886317E-5</v>
      </c>
    </row>
    <row r="680" spans="1:6" x14ac:dyDescent="0.25">
      <c r="A680">
        <v>21037</v>
      </c>
      <c r="B680">
        <v>2</v>
      </c>
      <c r="C680" s="5">
        <v>0.80440333333333303</v>
      </c>
      <c r="D680">
        <v>3</v>
      </c>
      <c r="E680" s="3">
        <f t="shared" si="23"/>
        <v>3.2519468198506066E-4</v>
      </c>
      <c r="F680" t="str">
        <f t="shared" si="24"/>
        <v/>
      </c>
    </row>
    <row r="681" spans="1:6" x14ac:dyDescent="0.25">
      <c r="A681">
        <v>21001</v>
      </c>
      <c r="B681">
        <v>2</v>
      </c>
      <c r="C681" s="5">
        <v>0.79785666666666599</v>
      </c>
      <c r="D681">
        <v>3</v>
      </c>
      <c r="E681" s="3">
        <f t="shared" si="23"/>
        <v>3.2254807288175551E-4</v>
      </c>
      <c r="F681" t="str">
        <f t="shared" si="24"/>
        <v/>
      </c>
    </row>
    <row r="682" spans="1:6" x14ac:dyDescent="0.25">
      <c r="A682">
        <v>21084</v>
      </c>
      <c r="B682">
        <v>2</v>
      </c>
      <c r="C682" s="5">
        <v>0.77862666666666602</v>
      </c>
      <c r="D682">
        <v>5</v>
      </c>
      <c r="E682" s="3">
        <f t="shared" si="23"/>
        <v>3.1477399553095798E-4</v>
      </c>
      <c r="F682" t="str">
        <f t="shared" si="24"/>
        <v/>
      </c>
    </row>
    <row r="683" spans="1:6" x14ac:dyDescent="0.25">
      <c r="A683">
        <v>21057</v>
      </c>
      <c r="B683">
        <v>0</v>
      </c>
      <c r="C683" s="5">
        <v>0.77600999999999998</v>
      </c>
      <c r="D683">
        <v>12</v>
      </c>
      <c r="E683" s="3">
        <f t="shared" si="23"/>
        <v>5.0841925896092798E-5</v>
      </c>
    </row>
    <row r="684" spans="1:6" x14ac:dyDescent="0.25">
      <c r="A684">
        <v>20685</v>
      </c>
      <c r="B684">
        <v>0</v>
      </c>
      <c r="C684" s="5">
        <v>0.77433666666666601</v>
      </c>
      <c r="D684">
        <v>12</v>
      </c>
      <c r="E684" s="3">
        <f t="shared" si="23"/>
        <v>5.0732293946333354E-5</v>
      </c>
    </row>
    <row r="685" spans="1:6" x14ac:dyDescent="0.25">
      <c r="A685">
        <v>20925</v>
      </c>
      <c r="B685">
        <v>0</v>
      </c>
      <c r="C685" s="5">
        <v>0.768743333333333</v>
      </c>
      <c r="D685">
        <v>12</v>
      </c>
      <c r="E685" s="3">
        <f t="shared" si="23"/>
        <v>5.0365834958890585E-5</v>
      </c>
    </row>
    <row r="686" spans="1:6" x14ac:dyDescent="0.25">
      <c r="A686">
        <v>21086</v>
      </c>
      <c r="B686" t="s">
        <v>21</v>
      </c>
      <c r="C686" s="5">
        <v>0.76264999999999905</v>
      </c>
      <c r="D686">
        <v>0</v>
      </c>
      <c r="E686" s="3">
        <f t="shared" si="23"/>
        <v>3.3110365794832231E-4</v>
      </c>
      <c r="F686" t="str">
        <f t="shared" si="24"/>
        <v/>
      </c>
    </row>
    <row r="687" spans="1:6" x14ac:dyDescent="0.25">
      <c r="A687">
        <v>21008</v>
      </c>
      <c r="B687">
        <v>0</v>
      </c>
      <c r="C687" s="5">
        <v>0.75785666666666596</v>
      </c>
      <c r="D687">
        <v>12</v>
      </c>
      <c r="E687" s="3">
        <f t="shared" si="23"/>
        <v>4.9652572114439934E-5</v>
      </c>
    </row>
    <row r="688" spans="1:6" x14ac:dyDescent="0.25">
      <c r="A688">
        <v>20976</v>
      </c>
      <c r="B688">
        <v>0</v>
      </c>
      <c r="C688" s="5">
        <v>0.74724666666666595</v>
      </c>
      <c r="D688">
        <v>12</v>
      </c>
      <c r="E688" s="3">
        <f t="shared" si="23"/>
        <v>4.8957435668057097E-5</v>
      </c>
    </row>
    <row r="689" spans="1:6" x14ac:dyDescent="0.25">
      <c r="A689">
        <v>20906</v>
      </c>
      <c r="B689">
        <v>0</v>
      </c>
      <c r="C689" s="5">
        <v>0.74699333333333295</v>
      </c>
      <c r="D689">
        <v>12</v>
      </c>
      <c r="E689" s="3">
        <f t="shared" si="23"/>
        <v>4.8940838002356494E-5</v>
      </c>
    </row>
    <row r="690" spans="1:6" x14ac:dyDescent="0.25">
      <c r="A690">
        <v>21154</v>
      </c>
      <c r="B690" t="s">
        <v>21</v>
      </c>
      <c r="C690" s="5">
        <v>0.71942333333333297</v>
      </c>
      <c r="D690">
        <v>0</v>
      </c>
      <c r="E690" s="3">
        <f t="shared" si="23"/>
        <v>3.1233684820040919E-4</v>
      </c>
      <c r="F690" t="str">
        <f t="shared" si="24"/>
        <v/>
      </c>
    </row>
    <row r="691" spans="1:6" x14ac:dyDescent="0.25">
      <c r="A691">
        <v>21144</v>
      </c>
      <c r="B691" t="s">
        <v>21</v>
      </c>
      <c r="C691" s="5">
        <v>0.71747333333333296</v>
      </c>
      <c r="D691">
        <v>0</v>
      </c>
      <c r="E691" s="3">
        <f t="shared" si="23"/>
        <v>3.1149025784703706E-4</v>
      </c>
      <c r="F691" t="str">
        <f t="shared" si="24"/>
        <v/>
      </c>
    </row>
    <row r="692" spans="1:6" x14ac:dyDescent="0.25">
      <c r="A692">
        <v>20936</v>
      </c>
      <c r="B692">
        <v>0</v>
      </c>
      <c r="C692" s="5">
        <v>0.70664666666666598</v>
      </c>
      <c r="D692">
        <v>12</v>
      </c>
      <c r="E692" s="3">
        <f t="shared" si="23"/>
        <v>4.6297441349193466E-5</v>
      </c>
    </row>
    <row r="693" spans="1:6" x14ac:dyDescent="0.25">
      <c r="A693">
        <v>21126</v>
      </c>
      <c r="B693">
        <v>2</v>
      </c>
      <c r="C693" s="5">
        <v>0.70089666666666595</v>
      </c>
      <c r="D693">
        <v>8</v>
      </c>
      <c r="E693" s="3">
        <f t="shared" si="23"/>
        <v>2.8335022889146273E-4</v>
      </c>
      <c r="F693" t="str">
        <f t="shared" si="24"/>
        <v/>
      </c>
    </row>
    <row r="694" spans="1:6" x14ac:dyDescent="0.25">
      <c r="A694">
        <v>20947</v>
      </c>
      <c r="B694">
        <v>0</v>
      </c>
      <c r="C694" s="5">
        <v>0.69374999999999998</v>
      </c>
      <c r="D694">
        <v>12</v>
      </c>
      <c r="E694" s="3">
        <f t="shared" si="23"/>
        <v>4.54524891308287E-5</v>
      </c>
    </row>
    <row r="695" spans="1:6" x14ac:dyDescent="0.25">
      <c r="A695">
        <v>20601</v>
      </c>
      <c r="B695">
        <v>0</v>
      </c>
      <c r="C695" s="5">
        <v>0.66828333333333301</v>
      </c>
      <c r="D695">
        <v>12</v>
      </c>
      <c r="E695" s="3">
        <f t="shared" si="23"/>
        <v>4.3783986947239338E-5</v>
      </c>
    </row>
    <row r="696" spans="1:6" x14ac:dyDescent="0.25">
      <c r="A696">
        <v>20965</v>
      </c>
      <c r="B696">
        <v>0</v>
      </c>
      <c r="C696" s="5">
        <v>0.66695666666666598</v>
      </c>
      <c r="D696">
        <v>12</v>
      </c>
      <c r="E696" s="3">
        <f t="shared" si="23"/>
        <v>4.3697067592649195E-5</v>
      </c>
    </row>
    <row r="697" spans="1:6" x14ac:dyDescent="0.25">
      <c r="A697">
        <v>20996</v>
      </c>
      <c r="B697">
        <v>0</v>
      </c>
      <c r="C697" s="5">
        <v>0.64554333333333302</v>
      </c>
      <c r="D697">
        <v>12</v>
      </c>
      <c r="E697" s="3">
        <f t="shared" si="23"/>
        <v>4.2294128060269906E-5</v>
      </c>
    </row>
    <row r="698" spans="1:6" x14ac:dyDescent="0.25">
      <c r="A698">
        <v>20985</v>
      </c>
      <c r="B698">
        <v>0</v>
      </c>
      <c r="C698" s="5">
        <v>0.64180000000000004</v>
      </c>
      <c r="D698">
        <v>12</v>
      </c>
      <c r="E698" s="3">
        <f t="shared" si="23"/>
        <v>4.2048875710509351E-5</v>
      </c>
    </row>
    <row r="699" spans="1:6" x14ac:dyDescent="0.25">
      <c r="A699">
        <v>20729</v>
      </c>
      <c r="B699">
        <v>0</v>
      </c>
      <c r="C699" s="5">
        <v>0.62634000000000001</v>
      </c>
      <c r="D699">
        <v>12</v>
      </c>
      <c r="E699" s="3">
        <f t="shared" si="23"/>
        <v>4.1035981322094774E-5</v>
      </c>
    </row>
    <row r="700" spans="1:6" x14ac:dyDescent="0.25">
      <c r="A700">
        <v>21065</v>
      </c>
      <c r="B700">
        <v>0</v>
      </c>
      <c r="C700" s="5">
        <v>0.60878333333333301</v>
      </c>
      <c r="D700">
        <v>11</v>
      </c>
      <c r="E700" s="3">
        <f t="shared" si="23"/>
        <v>3.9885719410973673E-5</v>
      </c>
      <c r="F700" t="str">
        <f t="shared" si="24"/>
        <v/>
      </c>
    </row>
    <row r="701" spans="1:6" x14ac:dyDescent="0.25">
      <c r="A701">
        <v>21105</v>
      </c>
      <c r="B701">
        <v>2</v>
      </c>
      <c r="C701" s="5">
        <v>0.58042333333333296</v>
      </c>
      <c r="D701">
        <v>2</v>
      </c>
      <c r="E701" s="3">
        <f t="shared" si="23"/>
        <v>2.3464669212382115E-4</v>
      </c>
      <c r="F701" t="str">
        <f t="shared" si="24"/>
        <v/>
      </c>
    </row>
    <row r="702" spans="1:6" x14ac:dyDescent="0.25">
      <c r="A702">
        <v>21028</v>
      </c>
      <c r="B702">
        <v>0</v>
      </c>
      <c r="C702" s="5">
        <v>0.57471000000000005</v>
      </c>
      <c r="D702">
        <v>12</v>
      </c>
      <c r="E702" s="3">
        <f t="shared" si="23"/>
        <v>3.7653333374239374E-5</v>
      </c>
    </row>
    <row r="703" spans="1:6" x14ac:dyDescent="0.25">
      <c r="A703">
        <v>21179</v>
      </c>
      <c r="B703" t="s">
        <v>21</v>
      </c>
      <c r="C703" s="5">
        <v>0.56291000000000002</v>
      </c>
      <c r="D703">
        <v>0</v>
      </c>
      <c r="E703" s="3">
        <f t="shared" si="23"/>
        <v>2.4438675682907015E-4</v>
      </c>
      <c r="F703" t="str">
        <f t="shared" si="24"/>
        <v/>
      </c>
    </row>
    <row r="704" spans="1:6" x14ac:dyDescent="0.25">
      <c r="A704">
        <v>20586</v>
      </c>
      <c r="B704">
        <v>0</v>
      </c>
      <c r="C704" s="5">
        <v>0.53580666666666599</v>
      </c>
      <c r="D704">
        <v>12</v>
      </c>
      <c r="E704" s="3">
        <f t="shared" si="23"/>
        <v>3.5104499737502263E-5</v>
      </c>
    </row>
    <row r="705" spans="1:6" x14ac:dyDescent="0.25">
      <c r="A705">
        <v>21003</v>
      </c>
      <c r="B705">
        <v>0</v>
      </c>
      <c r="C705" s="5">
        <v>0.53235666666666603</v>
      </c>
      <c r="D705">
        <v>12</v>
      </c>
      <c r="E705" s="3">
        <f t="shared" si="23"/>
        <v>3.4878465737500304E-5</v>
      </c>
    </row>
    <row r="706" spans="1:6" x14ac:dyDescent="0.25">
      <c r="A706">
        <v>21153</v>
      </c>
      <c r="B706" t="s">
        <v>21</v>
      </c>
      <c r="C706" s="5">
        <v>0.52668666666666597</v>
      </c>
      <c r="D706">
        <v>0</v>
      </c>
      <c r="E706" s="3">
        <f t="shared" si="23"/>
        <v>2.2866043653830989E-4</v>
      </c>
      <c r="F706" t="str">
        <f t="shared" si="24"/>
        <v/>
      </c>
    </row>
    <row r="707" spans="1:6" x14ac:dyDescent="0.25">
      <c r="A707">
        <v>20948</v>
      </c>
      <c r="B707">
        <v>0</v>
      </c>
      <c r="C707" s="5">
        <v>0.51928333333333299</v>
      </c>
      <c r="D707">
        <v>12</v>
      </c>
      <c r="E707" s="3">
        <f t="shared" ref="E707:E770" si="25">$C707/SUMIF($B$2:$B$781,B707,$C$2:$C$781)</f>
        <v>3.4021938831212707E-5</v>
      </c>
    </row>
    <row r="708" spans="1:6" x14ac:dyDescent="0.25">
      <c r="A708">
        <v>21016</v>
      </c>
      <c r="B708">
        <v>0</v>
      </c>
      <c r="C708" s="5">
        <v>0.50522</v>
      </c>
      <c r="D708">
        <v>12</v>
      </c>
      <c r="E708" s="3">
        <f t="shared" si="25"/>
        <v>3.3100549994489769E-5</v>
      </c>
    </row>
    <row r="709" spans="1:6" x14ac:dyDescent="0.25">
      <c r="A709">
        <v>21171</v>
      </c>
      <c r="B709" t="s">
        <v>21</v>
      </c>
      <c r="C709" s="5">
        <v>0.476146666666666</v>
      </c>
      <c r="D709">
        <v>0</v>
      </c>
      <c r="E709" s="3">
        <f t="shared" si="25"/>
        <v>2.0671855117450184E-4</v>
      </c>
      <c r="F709" t="str">
        <f t="shared" ref="F709:F770" si="26">IF(AND(OR(B709=0,B709=3,B709=7),D709=12),"Sí","")</f>
        <v/>
      </c>
    </row>
    <row r="710" spans="1:6" x14ac:dyDescent="0.25">
      <c r="A710">
        <v>20956</v>
      </c>
      <c r="B710">
        <v>0</v>
      </c>
      <c r="C710" s="5">
        <v>0.47472666666666602</v>
      </c>
      <c r="D710">
        <v>12</v>
      </c>
      <c r="E710" s="3">
        <f t="shared" si="25"/>
        <v>3.1102715180945838E-5</v>
      </c>
    </row>
    <row r="711" spans="1:6" x14ac:dyDescent="0.25">
      <c r="A711">
        <v>21024</v>
      </c>
      <c r="B711">
        <v>0</v>
      </c>
      <c r="C711" s="5">
        <v>0.46880333333333302</v>
      </c>
      <c r="D711">
        <v>12</v>
      </c>
      <c r="E711" s="3">
        <f t="shared" si="25"/>
        <v>3.0714635550024627E-5</v>
      </c>
    </row>
    <row r="712" spans="1:6" x14ac:dyDescent="0.25">
      <c r="A712">
        <v>21080</v>
      </c>
      <c r="B712">
        <v>0</v>
      </c>
      <c r="C712" s="5">
        <v>0.44330999999999998</v>
      </c>
      <c r="D712">
        <v>12</v>
      </c>
      <c r="E712" s="3">
        <f t="shared" si="25"/>
        <v>2.9044386243729978E-5</v>
      </c>
    </row>
    <row r="713" spans="1:6" x14ac:dyDescent="0.25">
      <c r="A713">
        <v>20663</v>
      </c>
      <c r="B713">
        <v>0</v>
      </c>
      <c r="C713" s="5">
        <v>0.434406666666666</v>
      </c>
      <c r="D713">
        <v>12</v>
      </c>
      <c r="E713" s="3">
        <f t="shared" si="25"/>
        <v>2.8461065650488163E-5</v>
      </c>
    </row>
    <row r="714" spans="1:6" x14ac:dyDescent="0.25">
      <c r="A714">
        <v>21214</v>
      </c>
      <c r="B714" t="s">
        <v>21</v>
      </c>
      <c r="C714" s="5">
        <v>0.43391666666666601</v>
      </c>
      <c r="D714">
        <v>0</v>
      </c>
      <c r="E714" s="3">
        <f t="shared" si="25"/>
        <v>1.8838444316275637E-4</v>
      </c>
      <c r="F714" t="str">
        <f t="shared" si="26"/>
        <v/>
      </c>
    </row>
    <row r="715" spans="1:6" x14ac:dyDescent="0.25">
      <c r="A715">
        <v>20678</v>
      </c>
      <c r="B715">
        <v>0</v>
      </c>
      <c r="C715" s="5">
        <v>0.42539333333333301</v>
      </c>
      <c r="D715">
        <v>12</v>
      </c>
      <c r="E715" s="3">
        <f t="shared" si="25"/>
        <v>2.7870538176086932E-5</v>
      </c>
    </row>
    <row r="716" spans="1:6" x14ac:dyDescent="0.25">
      <c r="A716">
        <v>20970</v>
      </c>
      <c r="B716">
        <v>0</v>
      </c>
      <c r="C716" s="5">
        <v>0.42075333333333298</v>
      </c>
      <c r="D716">
        <v>12</v>
      </c>
      <c r="E716" s="3">
        <f t="shared" si="25"/>
        <v>2.7566538825359659E-5</v>
      </c>
    </row>
    <row r="717" spans="1:6" x14ac:dyDescent="0.25">
      <c r="A717">
        <v>20561</v>
      </c>
      <c r="B717">
        <v>0</v>
      </c>
      <c r="C717" s="5">
        <v>0.42044666666666602</v>
      </c>
      <c r="D717">
        <v>12</v>
      </c>
      <c r="E717" s="3">
        <f t="shared" si="25"/>
        <v>2.7546446914248356E-5</v>
      </c>
    </row>
    <row r="718" spans="1:6" x14ac:dyDescent="0.25">
      <c r="A718">
        <v>21196</v>
      </c>
      <c r="B718" t="s">
        <v>21</v>
      </c>
      <c r="C718" s="5">
        <v>0.41679666666666598</v>
      </c>
      <c r="D718">
        <v>0</v>
      </c>
      <c r="E718" s="3">
        <f t="shared" si="25"/>
        <v>1.8095181400904853E-4</v>
      </c>
      <c r="F718" t="str">
        <f t="shared" si="26"/>
        <v/>
      </c>
    </row>
    <row r="719" spans="1:6" x14ac:dyDescent="0.25">
      <c r="A719">
        <v>21038</v>
      </c>
      <c r="B719">
        <v>0</v>
      </c>
      <c r="C719" s="5">
        <v>0.40838666666666601</v>
      </c>
      <c r="D719">
        <v>12</v>
      </c>
      <c r="E719" s="3">
        <f t="shared" si="25"/>
        <v>2.6756310670763244E-5</v>
      </c>
    </row>
    <row r="720" spans="1:6" x14ac:dyDescent="0.25">
      <c r="A720">
        <v>20987</v>
      </c>
      <c r="B720" t="s">
        <v>21</v>
      </c>
      <c r="C720" s="5">
        <v>0.40403999999999901</v>
      </c>
      <c r="D720">
        <v>0</v>
      </c>
      <c r="E720" s="3">
        <f t="shared" si="25"/>
        <v>1.7541352121869794E-4</v>
      </c>
      <c r="F720" t="str">
        <f t="shared" si="26"/>
        <v/>
      </c>
    </row>
    <row r="721" spans="1:6" x14ac:dyDescent="0.25">
      <c r="A721">
        <v>21168</v>
      </c>
      <c r="B721" t="s">
        <v>21</v>
      </c>
      <c r="C721" s="5">
        <v>0.38326333333333301</v>
      </c>
      <c r="D721">
        <v>0</v>
      </c>
      <c r="E721" s="3">
        <f t="shared" si="25"/>
        <v>1.6639335425704306E-4</v>
      </c>
      <c r="F721" t="str">
        <f t="shared" si="26"/>
        <v/>
      </c>
    </row>
    <row r="722" spans="1:6" x14ac:dyDescent="0.25">
      <c r="A722">
        <v>21163</v>
      </c>
      <c r="B722" t="s">
        <v>21</v>
      </c>
      <c r="C722" s="5">
        <v>0.37779999999999903</v>
      </c>
      <c r="D722">
        <v>0</v>
      </c>
      <c r="E722" s="3">
        <f t="shared" si="25"/>
        <v>1.640214541046037E-4</v>
      </c>
      <c r="F722" t="str">
        <f t="shared" si="26"/>
        <v/>
      </c>
    </row>
    <row r="723" spans="1:6" x14ac:dyDescent="0.25">
      <c r="A723">
        <v>21064</v>
      </c>
      <c r="B723" t="s">
        <v>21</v>
      </c>
      <c r="C723" s="5">
        <v>0.37562999999999902</v>
      </c>
      <c r="D723">
        <v>0</v>
      </c>
      <c r="E723" s="3">
        <f t="shared" si="25"/>
        <v>1.6307935099341527E-4</v>
      </c>
      <c r="F723" t="str">
        <f t="shared" si="26"/>
        <v/>
      </c>
    </row>
    <row r="724" spans="1:6" x14ac:dyDescent="0.25">
      <c r="A724">
        <v>21093</v>
      </c>
      <c r="B724">
        <v>2</v>
      </c>
      <c r="C724" s="5">
        <v>0.365763333333333</v>
      </c>
      <c r="D724">
        <v>2</v>
      </c>
      <c r="E724" s="3">
        <f t="shared" si="25"/>
        <v>1.4786648182105454E-4</v>
      </c>
      <c r="F724" t="str">
        <f t="shared" si="26"/>
        <v/>
      </c>
    </row>
    <row r="725" spans="1:6" x14ac:dyDescent="0.25">
      <c r="A725">
        <v>20773</v>
      </c>
      <c r="B725">
        <v>0</v>
      </c>
      <c r="C725" s="5">
        <v>0.36179</v>
      </c>
      <c r="D725">
        <v>12</v>
      </c>
      <c r="E725" s="3">
        <f t="shared" si="25"/>
        <v>2.3703432133538761E-5</v>
      </c>
    </row>
    <row r="726" spans="1:6" x14ac:dyDescent="0.25">
      <c r="A726">
        <v>21176</v>
      </c>
      <c r="B726">
        <v>7</v>
      </c>
      <c r="C726" s="5">
        <v>0.36051666666666599</v>
      </c>
      <c r="D726">
        <v>8</v>
      </c>
      <c r="E726" s="3">
        <f t="shared" si="25"/>
        <v>5.442016119790638E-5</v>
      </c>
      <c r="F726" t="str">
        <f t="shared" si="26"/>
        <v/>
      </c>
    </row>
    <row r="727" spans="1:6" x14ac:dyDescent="0.25">
      <c r="A727">
        <v>21159</v>
      </c>
      <c r="B727" t="s">
        <v>21</v>
      </c>
      <c r="C727" s="5">
        <v>0.35524</v>
      </c>
      <c r="D727">
        <v>0</v>
      </c>
      <c r="E727" s="3">
        <f t="shared" si="25"/>
        <v>1.5422705493943771E-4</v>
      </c>
      <c r="F727" t="str">
        <f t="shared" si="26"/>
        <v/>
      </c>
    </row>
    <row r="728" spans="1:6" x14ac:dyDescent="0.25">
      <c r="A728">
        <v>21135</v>
      </c>
      <c r="B728" t="s">
        <v>21</v>
      </c>
      <c r="C728" s="5">
        <v>0.35503000000000001</v>
      </c>
      <c r="D728">
        <v>0</v>
      </c>
      <c r="E728" s="3">
        <f t="shared" si="25"/>
        <v>1.5413588367061304E-4</v>
      </c>
      <c r="F728" t="str">
        <f t="shared" si="26"/>
        <v/>
      </c>
    </row>
    <row r="729" spans="1:6" x14ac:dyDescent="0.25">
      <c r="A729">
        <v>21055</v>
      </c>
      <c r="B729">
        <v>0</v>
      </c>
      <c r="C729" s="5">
        <v>0.35268333333333302</v>
      </c>
      <c r="D729">
        <v>12</v>
      </c>
      <c r="E729" s="3">
        <f t="shared" si="25"/>
        <v>2.3106789729668835E-5</v>
      </c>
    </row>
    <row r="730" spans="1:6" x14ac:dyDescent="0.25">
      <c r="A730">
        <v>20994</v>
      </c>
      <c r="B730">
        <v>0</v>
      </c>
      <c r="C730" s="5">
        <v>0.33915000000000001</v>
      </c>
      <c r="D730">
        <v>12</v>
      </c>
      <c r="E730" s="3">
        <f t="shared" si="25"/>
        <v>2.2220124956714312E-5</v>
      </c>
    </row>
    <row r="731" spans="1:6" x14ac:dyDescent="0.25">
      <c r="A731">
        <v>21048</v>
      </c>
      <c r="B731">
        <v>0</v>
      </c>
      <c r="C731" s="5">
        <v>0.33907666666666603</v>
      </c>
      <c r="D731">
        <v>12</v>
      </c>
      <c r="E731" s="3">
        <f t="shared" si="25"/>
        <v>2.2215320369274617E-5</v>
      </c>
    </row>
    <row r="732" spans="1:6" x14ac:dyDescent="0.25">
      <c r="A732">
        <v>20636</v>
      </c>
      <c r="B732">
        <v>0</v>
      </c>
      <c r="C732" s="5">
        <v>0.33379999999999899</v>
      </c>
      <c r="D732">
        <v>12</v>
      </c>
      <c r="E732" s="3">
        <f t="shared" si="25"/>
        <v>2.1869608463957584E-5</v>
      </c>
    </row>
    <row r="733" spans="1:6" x14ac:dyDescent="0.25">
      <c r="A733">
        <v>20982</v>
      </c>
      <c r="B733">
        <v>0</v>
      </c>
      <c r="C733" s="5">
        <v>0.33343666666666599</v>
      </c>
      <c r="D733">
        <v>12</v>
      </c>
      <c r="E733" s="3">
        <f t="shared" si="25"/>
        <v>2.1845803917097498E-5</v>
      </c>
    </row>
    <row r="734" spans="1:6" x14ac:dyDescent="0.25">
      <c r="A734">
        <v>21032</v>
      </c>
      <c r="B734">
        <v>0</v>
      </c>
      <c r="C734" s="5">
        <v>0.32164999999999999</v>
      </c>
      <c r="D734">
        <v>12</v>
      </c>
      <c r="E734" s="3">
        <f t="shared" si="25"/>
        <v>2.1073575681342057E-5</v>
      </c>
    </row>
    <row r="735" spans="1:6" x14ac:dyDescent="0.25">
      <c r="A735">
        <v>21164</v>
      </c>
      <c r="B735">
        <v>7</v>
      </c>
      <c r="C735" s="5">
        <v>0.29704999999999998</v>
      </c>
      <c r="D735">
        <v>8</v>
      </c>
      <c r="E735" s="3">
        <f t="shared" si="25"/>
        <v>4.4839837872973377E-5</v>
      </c>
      <c r="F735" t="str">
        <f t="shared" si="26"/>
        <v/>
      </c>
    </row>
    <row r="736" spans="1:6" x14ac:dyDescent="0.25">
      <c r="A736">
        <v>21201</v>
      </c>
      <c r="B736">
        <v>2</v>
      </c>
      <c r="C736" s="5">
        <v>0.29569333333333297</v>
      </c>
      <c r="D736">
        <v>3</v>
      </c>
      <c r="E736" s="3">
        <f t="shared" si="25"/>
        <v>1.1953940953970328E-4</v>
      </c>
      <c r="F736" t="str">
        <f t="shared" si="26"/>
        <v/>
      </c>
    </row>
    <row r="737" spans="1:6" x14ac:dyDescent="0.25">
      <c r="A737">
        <v>20597</v>
      </c>
      <c r="B737">
        <v>0</v>
      </c>
      <c r="C737" s="5">
        <v>0.28532333333333298</v>
      </c>
      <c r="D737">
        <v>12</v>
      </c>
      <c r="E737" s="3">
        <f t="shared" si="25"/>
        <v>1.8693557776007397E-5</v>
      </c>
    </row>
    <row r="738" spans="1:6" x14ac:dyDescent="0.25">
      <c r="A738">
        <v>21049</v>
      </c>
      <c r="B738">
        <v>0</v>
      </c>
      <c r="C738" s="5">
        <v>0.284046666666666</v>
      </c>
      <c r="D738">
        <v>11</v>
      </c>
      <c r="E738" s="3">
        <f t="shared" si="25"/>
        <v>1.8609914276489743E-5</v>
      </c>
      <c r="F738" t="str">
        <f t="shared" si="26"/>
        <v/>
      </c>
    </row>
    <row r="739" spans="1:6" x14ac:dyDescent="0.25">
      <c r="A739">
        <v>21155</v>
      </c>
      <c r="B739">
        <v>0</v>
      </c>
      <c r="C739" s="5">
        <v>0.28309333333333297</v>
      </c>
      <c r="D739">
        <v>12</v>
      </c>
      <c r="E739" s="3">
        <f t="shared" si="25"/>
        <v>1.8547454639774247E-5</v>
      </c>
    </row>
    <row r="740" spans="1:6" x14ac:dyDescent="0.25">
      <c r="A740">
        <v>21142</v>
      </c>
      <c r="B740">
        <v>4</v>
      </c>
      <c r="C740" s="5">
        <v>0.282453333333333</v>
      </c>
      <c r="D740">
        <v>4</v>
      </c>
      <c r="E740" s="3">
        <f t="shared" si="25"/>
        <v>3.267448629149205E-3</v>
      </c>
      <c r="F740" t="str">
        <f t="shared" si="26"/>
        <v/>
      </c>
    </row>
    <row r="741" spans="1:6" x14ac:dyDescent="0.25">
      <c r="A741">
        <v>21118</v>
      </c>
      <c r="B741">
        <v>0</v>
      </c>
      <c r="C741" s="5">
        <v>0.2707</v>
      </c>
      <c r="D741">
        <v>12</v>
      </c>
      <c r="E741" s="3">
        <f t="shared" si="25"/>
        <v>1.7735479362472546E-5</v>
      </c>
    </row>
    <row r="742" spans="1:6" x14ac:dyDescent="0.25">
      <c r="A742">
        <v>21227</v>
      </c>
      <c r="B742" t="s">
        <v>21</v>
      </c>
      <c r="C742" s="5">
        <v>0.25774666666666601</v>
      </c>
      <c r="D742">
        <v>0</v>
      </c>
      <c r="E742" s="3">
        <f t="shared" si="25"/>
        <v>1.1190043159682704E-4</v>
      </c>
      <c r="F742" t="str">
        <f t="shared" si="26"/>
        <v/>
      </c>
    </row>
    <row r="743" spans="1:6" x14ac:dyDescent="0.25">
      <c r="A743">
        <v>20765</v>
      </c>
      <c r="B743">
        <v>0</v>
      </c>
      <c r="C743" s="5">
        <v>0.25150666666666599</v>
      </c>
      <c r="D743">
        <v>12</v>
      </c>
      <c r="E743" s="3">
        <f t="shared" si="25"/>
        <v>1.6477987795311847E-5</v>
      </c>
    </row>
    <row r="744" spans="1:6" x14ac:dyDescent="0.25">
      <c r="A744">
        <v>21184</v>
      </c>
      <c r="B744">
        <v>0</v>
      </c>
      <c r="C744" s="5">
        <v>0.22753000000000001</v>
      </c>
      <c r="D744">
        <v>12</v>
      </c>
      <c r="E744" s="3">
        <f t="shared" si="25"/>
        <v>1.4907106092882819E-5</v>
      </c>
    </row>
    <row r="745" spans="1:6" x14ac:dyDescent="0.25">
      <c r="A745">
        <v>21077</v>
      </c>
      <c r="B745">
        <v>0</v>
      </c>
      <c r="C745" s="5">
        <v>0.21731999999999899</v>
      </c>
      <c r="D745">
        <v>12</v>
      </c>
      <c r="E745" s="3">
        <f t="shared" si="25"/>
        <v>1.4238176487079852E-5</v>
      </c>
    </row>
    <row r="746" spans="1:6" x14ac:dyDescent="0.25">
      <c r="A746">
        <v>20991</v>
      </c>
      <c r="B746">
        <v>0</v>
      </c>
      <c r="C746" s="5">
        <v>0.19262000000000001</v>
      </c>
      <c r="D746">
        <v>12</v>
      </c>
      <c r="E746" s="3">
        <f t="shared" si="25"/>
        <v>1.2619904081268793E-5</v>
      </c>
    </row>
    <row r="747" spans="1:6" x14ac:dyDescent="0.25">
      <c r="A747">
        <v>21167</v>
      </c>
      <c r="B747">
        <v>1</v>
      </c>
      <c r="C747" s="5">
        <v>0.19229666666666601</v>
      </c>
      <c r="D747">
        <v>12</v>
      </c>
      <c r="E747" s="3">
        <f t="shared" si="25"/>
        <v>4.3833044220687253E-4</v>
      </c>
      <c r="F747" t="str">
        <f t="shared" si="26"/>
        <v/>
      </c>
    </row>
    <row r="748" spans="1:6" x14ac:dyDescent="0.25">
      <c r="A748">
        <v>21099</v>
      </c>
      <c r="B748" t="s">
        <v>21</v>
      </c>
      <c r="C748" s="5">
        <v>0.189126666666666</v>
      </c>
      <c r="D748">
        <v>0</v>
      </c>
      <c r="E748" s="3">
        <f t="shared" si="25"/>
        <v>8.2109134136112546E-5</v>
      </c>
      <c r="F748" t="str">
        <f t="shared" si="26"/>
        <v/>
      </c>
    </row>
    <row r="749" spans="1:6" x14ac:dyDescent="0.25">
      <c r="A749">
        <v>21157</v>
      </c>
      <c r="B749">
        <v>7</v>
      </c>
      <c r="C749" s="5">
        <v>0.17451</v>
      </c>
      <c r="D749">
        <v>10</v>
      </c>
      <c r="E749" s="3">
        <f t="shared" si="25"/>
        <v>2.6342366965873033E-5</v>
      </c>
      <c r="F749" t="str">
        <f t="shared" si="26"/>
        <v/>
      </c>
    </row>
    <row r="750" spans="1:6" x14ac:dyDescent="0.25">
      <c r="A750">
        <v>21088</v>
      </c>
      <c r="B750">
        <v>0</v>
      </c>
      <c r="C750" s="5">
        <v>0.16847999999999999</v>
      </c>
      <c r="D750">
        <v>12</v>
      </c>
      <c r="E750" s="3">
        <f t="shared" si="25"/>
        <v>1.1038321252269578E-5</v>
      </c>
    </row>
    <row r="751" spans="1:6" x14ac:dyDescent="0.25">
      <c r="A751">
        <v>21191</v>
      </c>
      <c r="B751">
        <v>4</v>
      </c>
      <c r="C751" s="5">
        <v>0.166523333333333</v>
      </c>
      <c r="D751">
        <v>4</v>
      </c>
      <c r="E751" s="3">
        <f t="shared" si="25"/>
        <v>1.9263587042863328E-3</v>
      </c>
      <c r="F751" t="str">
        <f t="shared" si="26"/>
        <v/>
      </c>
    </row>
    <row r="752" spans="1:6" x14ac:dyDescent="0.25">
      <c r="A752">
        <v>21131</v>
      </c>
      <c r="B752">
        <v>0</v>
      </c>
      <c r="C752" s="5">
        <v>0.150526666666666</v>
      </c>
      <c r="D752">
        <v>12</v>
      </c>
      <c r="E752" s="3">
        <f t="shared" si="25"/>
        <v>9.8620708909066836E-6</v>
      </c>
    </row>
    <row r="753" spans="1:6" x14ac:dyDescent="0.25">
      <c r="A753">
        <v>21170</v>
      </c>
      <c r="B753">
        <v>0</v>
      </c>
      <c r="C753" s="5">
        <v>0.133723333333333</v>
      </c>
      <c r="D753">
        <v>12</v>
      </c>
      <c r="E753" s="3">
        <f t="shared" si="25"/>
        <v>8.7611651962111734E-6</v>
      </c>
    </row>
    <row r="754" spans="1:6" x14ac:dyDescent="0.25">
      <c r="A754">
        <v>21209</v>
      </c>
      <c r="B754">
        <v>4</v>
      </c>
      <c r="C754" s="5">
        <v>0.12308999999999901</v>
      </c>
      <c r="D754">
        <v>4</v>
      </c>
      <c r="E754" s="3">
        <f t="shared" si="25"/>
        <v>1.423917526536441E-3</v>
      </c>
      <c r="F754" t="str">
        <f t="shared" si="26"/>
        <v/>
      </c>
    </row>
    <row r="755" spans="1:6" x14ac:dyDescent="0.25">
      <c r="A755">
        <v>21190</v>
      </c>
      <c r="B755">
        <v>5</v>
      </c>
      <c r="C755" s="5">
        <v>0.120976666666666</v>
      </c>
      <c r="D755">
        <v>12</v>
      </c>
      <c r="E755" s="3">
        <f t="shared" si="25"/>
        <v>5.2769140354310372E-4</v>
      </c>
      <c r="F755" t="str">
        <f t="shared" si="26"/>
        <v/>
      </c>
    </row>
    <row r="756" spans="1:6" x14ac:dyDescent="0.25">
      <c r="A756">
        <v>21226</v>
      </c>
      <c r="B756">
        <v>4</v>
      </c>
      <c r="C756" s="5">
        <v>0.11749333333333301</v>
      </c>
      <c r="D756">
        <v>4</v>
      </c>
      <c r="E756" s="3">
        <f t="shared" si="25"/>
        <v>1.3591747224349863E-3</v>
      </c>
      <c r="F756" t="str">
        <f t="shared" si="26"/>
        <v/>
      </c>
    </row>
    <row r="757" spans="1:6" x14ac:dyDescent="0.25">
      <c r="A757">
        <v>21207</v>
      </c>
      <c r="B757">
        <v>0</v>
      </c>
      <c r="C757" s="5">
        <v>0.116136666666666</v>
      </c>
      <c r="D757">
        <v>12</v>
      </c>
      <c r="E757" s="3">
        <f t="shared" si="25"/>
        <v>7.6089377720465761E-6</v>
      </c>
    </row>
    <row r="758" spans="1:6" x14ac:dyDescent="0.25">
      <c r="A758">
        <v>21252</v>
      </c>
      <c r="B758" t="s">
        <v>21</v>
      </c>
      <c r="C758" s="5">
        <v>0.10188999999999999</v>
      </c>
      <c r="D758">
        <v>0</v>
      </c>
      <c r="E758" s="3">
        <f t="shared" si="25"/>
        <v>4.4235431335939946E-5</v>
      </c>
      <c r="F758" t="str">
        <f t="shared" si="26"/>
        <v/>
      </c>
    </row>
    <row r="759" spans="1:6" x14ac:dyDescent="0.25">
      <c r="A759">
        <v>21200</v>
      </c>
      <c r="B759">
        <v>5</v>
      </c>
      <c r="C759" s="5">
        <v>0.10092</v>
      </c>
      <c r="D759">
        <v>12</v>
      </c>
      <c r="E759" s="3">
        <f t="shared" si="25"/>
        <v>4.4020568521949404E-4</v>
      </c>
      <c r="F759" t="str">
        <f t="shared" si="26"/>
        <v/>
      </c>
    </row>
    <row r="760" spans="1:6" x14ac:dyDescent="0.25">
      <c r="A760">
        <v>21212</v>
      </c>
      <c r="B760">
        <v>0</v>
      </c>
      <c r="C760" s="5">
        <v>9.81599999999999E-2</v>
      </c>
      <c r="D760">
        <v>12</v>
      </c>
      <c r="E760" s="3">
        <f t="shared" si="25"/>
        <v>6.4311586783165995E-6</v>
      </c>
    </row>
    <row r="761" spans="1:6" x14ac:dyDescent="0.25">
      <c r="A761">
        <v>21194</v>
      </c>
      <c r="B761">
        <v>0</v>
      </c>
      <c r="C761" s="5">
        <v>8.95666666666666E-2</v>
      </c>
      <c r="D761">
        <v>12</v>
      </c>
      <c r="E761" s="3">
        <f t="shared" si="25"/>
        <v>5.8681483865242826E-6</v>
      </c>
    </row>
    <row r="762" spans="1:6" x14ac:dyDescent="0.25">
      <c r="A762">
        <v>21182</v>
      </c>
      <c r="B762">
        <v>0</v>
      </c>
      <c r="C762" s="5">
        <v>8.8733333333333303E-2</v>
      </c>
      <c r="D762">
        <v>12</v>
      </c>
      <c r="E762" s="3">
        <f t="shared" si="25"/>
        <v>5.8135508019827491E-6</v>
      </c>
    </row>
    <row r="763" spans="1:6" x14ac:dyDescent="0.25">
      <c r="A763">
        <v>21266</v>
      </c>
      <c r="B763" t="s">
        <v>21</v>
      </c>
      <c r="C763" s="5">
        <v>7.8883333333333305E-2</v>
      </c>
      <c r="D763">
        <v>0</v>
      </c>
      <c r="E763" s="3">
        <f t="shared" si="25"/>
        <v>3.4247112329146418E-5</v>
      </c>
      <c r="F763" t="str">
        <f t="shared" si="26"/>
        <v/>
      </c>
    </row>
    <row r="764" spans="1:6" x14ac:dyDescent="0.25">
      <c r="A764">
        <v>21265</v>
      </c>
      <c r="B764" t="s">
        <v>21</v>
      </c>
      <c r="C764" s="5">
        <v>7.5093333333333304E-2</v>
      </c>
      <c r="D764">
        <v>0</v>
      </c>
      <c r="E764" s="3">
        <f t="shared" si="25"/>
        <v>3.2601688001310398E-5</v>
      </c>
      <c r="F764" t="str">
        <f t="shared" si="26"/>
        <v/>
      </c>
    </row>
    <row r="765" spans="1:6" x14ac:dyDescent="0.25">
      <c r="A765">
        <v>21224</v>
      </c>
      <c r="B765">
        <v>0</v>
      </c>
      <c r="C765" s="5">
        <v>6.8896666666666606E-2</v>
      </c>
      <c r="D765">
        <v>12</v>
      </c>
      <c r="E765" s="3">
        <f t="shared" si="25"/>
        <v>4.5139098995560243E-6</v>
      </c>
    </row>
    <row r="766" spans="1:6" x14ac:dyDescent="0.25">
      <c r="A766">
        <v>21180</v>
      </c>
      <c r="B766">
        <v>0</v>
      </c>
      <c r="C766" s="5">
        <v>6.5703333333333294E-2</v>
      </c>
      <c r="D766">
        <v>12</v>
      </c>
      <c r="E766" s="3">
        <f t="shared" si="25"/>
        <v>4.3046919555928606E-6</v>
      </c>
    </row>
    <row r="767" spans="1:6" x14ac:dyDescent="0.25">
      <c r="A767">
        <v>21267</v>
      </c>
      <c r="B767" t="s">
        <v>21</v>
      </c>
      <c r="C767" s="5">
        <v>5.0990000000000001E-2</v>
      </c>
      <c r="D767">
        <v>0</v>
      </c>
      <c r="E767" s="3">
        <f t="shared" si="25"/>
        <v>2.2137252368432408E-5</v>
      </c>
      <c r="F767" t="str">
        <f t="shared" si="26"/>
        <v/>
      </c>
    </row>
    <row r="768" spans="1:6" x14ac:dyDescent="0.25">
      <c r="A768">
        <v>21202</v>
      </c>
      <c r="B768">
        <v>0</v>
      </c>
      <c r="C768" s="5">
        <v>4.1943333333333298E-2</v>
      </c>
      <c r="D768">
        <v>12</v>
      </c>
      <c r="E768" s="3">
        <f t="shared" si="25"/>
        <v>2.7480056251445866E-6</v>
      </c>
    </row>
    <row r="769" spans="1:6" x14ac:dyDescent="0.25">
      <c r="A769">
        <v>21222</v>
      </c>
      <c r="B769">
        <v>0</v>
      </c>
      <c r="C769" s="5">
        <v>3.8829999999999899E-2</v>
      </c>
      <c r="D769">
        <v>12</v>
      </c>
      <c r="E769" s="3">
        <f t="shared" si="25"/>
        <v>2.5440290492974038E-6</v>
      </c>
    </row>
    <row r="770" spans="1:6" x14ac:dyDescent="0.25">
      <c r="A770">
        <v>21233</v>
      </c>
      <c r="B770">
        <v>4</v>
      </c>
      <c r="C770" s="5">
        <v>3.7159999999999999E-2</v>
      </c>
      <c r="D770">
        <v>4</v>
      </c>
      <c r="E770" s="3">
        <f t="shared" si="25"/>
        <v>4.2987062544556481E-4</v>
      </c>
      <c r="F770" t="str">
        <f t="shared" si="26"/>
        <v/>
      </c>
    </row>
    <row r="771" spans="1:6" x14ac:dyDescent="0.25">
      <c r="A771">
        <v>21218</v>
      </c>
      <c r="B771">
        <v>0</v>
      </c>
      <c r="C771" s="5">
        <v>3.4810000000000001E-2</v>
      </c>
      <c r="D771">
        <v>12</v>
      </c>
      <c r="E771" s="3">
        <f t="shared" ref="E771:E781" si="27">$C771/SUMIF($B$2:$B$781,B771,$C$2:$C$781)</f>
        <v>2.2806503014690407E-6</v>
      </c>
    </row>
    <row r="772" spans="1:6" x14ac:dyDescent="0.25">
      <c r="A772">
        <v>21192</v>
      </c>
      <c r="B772">
        <v>7</v>
      </c>
      <c r="C772" s="5">
        <v>3.2279999999999899E-2</v>
      </c>
      <c r="D772">
        <v>12</v>
      </c>
      <c r="E772" s="3">
        <f t="shared" si="27"/>
        <v>4.8726812541308741E-6</v>
      </c>
      <c r="F772" t="str">
        <f t="shared" ref="F772:F781" si="28">IF(AND(OR(B772=0,B772=3,B772=7),D772=12),"Sí","")</f>
        <v>Sí</v>
      </c>
    </row>
    <row r="773" spans="1:6" x14ac:dyDescent="0.25">
      <c r="A773">
        <v>21245</v>
      </c>
      <c r="B773">
        <v>4</v>
      </c>
      <c r="C773" s="5">
        <v>2.5946666666666601E-2</v>
      </c>
      <c r="D773">
        <v>4</v>
      </c>
      <c r="E773" s="3">
        <f t="shared" si="27"/>
        <v>3.0015365522679117E-4</v>
      </c>
      <c r="F773" t="str">
        <f t="shared" si="28"/>
        <v/>
      </c>
    </row>
    <row r="774" spans="1:6" x14ac:dyDescent="0.25">
      <c r="A774">
        <v>21246</v>
      </c>
      <c r="B774">
        <v>4</v>
      </c>
      <c r="C774" s="5">
        <v>2.2583333333333299E-2</v>
      </c>
      <c r="D774">
        <v>3</v>
      </c>
      <c r="E774" s="3">
        <f t="shared" si="27"/>
        <v>2.6124627622835461E-4</v>
      </c>
      <c r="F774" t="str">
        <f t="shared" si="28"/>
        <v/>
      </c>
    </row>
    <row r="775" spans="1:6" x14ac:dyDescent="0.25">
      <c r="A775">
        <v>21259</v>
      </c>
      <c r="B775">
        <v>4</v>
      </c>
      <c r="C775" s="5">
        <v>2.1173333333333301E-2</v>
      </c>
      <c r="D775">
        <v>3</v>
      </c>
      <c r="E775" s="3">
        <f t="shared" si="27"/>
        <v>2.4493525411107138E-4</v>
      </c>
      <c r="F775" t="str">
        <f t="shared" si="28"/>
        <v/>
      </c>
    </row>
    <row r="776" spans="1:6" x14ac:dyDescent="0.25">
      <c r="A776">
        <v>21276</v>
      </c>
      <c r="B776" t="s">
        <v>21</v>
      </c>
      <c r="C776" s="5">
        <v>2.104E-2</v>
      </c>
      <c r="D776">
        <v>0</v>
      </c>
      <c r="E776" s="3">
        <f t="shared" si="27"/>
        <v>9.1344928384353377E-6</v>
      </c>
      <c r="F776" t="str">
        <f t="shared" si="28"/>
        <v/>
      </c>
    </row>
    <row r="777" spans="1:6" x14ac:dyDescent="0.25">
      <c r="A777">
        <v>21262</v>
      </c>
      <c r="B777">
        <v>4</v>
      </c>
      <c r="C777" s="5">
        <v>2.0696666666666599E-2</v>
      </c>
      <c r="D777">
        <v>3</v>
      </c>
      <c r="E777" s="3">
        <f t="shared" si="27"/>
        <v>2.3942112606669386E-4</v>
      </c>
      <c r="F777" t="str">
        <f t="shared" si="28"/>
        <v/>
      </c>
    </row>
    <row r="778" spans="1:6" x14ac:dyDescent="0.25">
      <c r="A778">
        <v>21263</v>
      </c>
      <c r="B778">
        <v>4</v>
      </c>
      <c r="C778" s="5">
        <v>2.0229999999999901E-2</v>
      </c>
      <c r="D778">
        <v>3</v>
      </c>
      <c r="E778" s="3">
        <f t="shared" si="27"/>
        <v>2.3402267903024039E-4</v>
      </c>
      <c r="F778" t="str">
        <f t="shared" si="28"/>
        <v/>
      </c>
    </row>
    <row r="779" spans="1:6" x14ac:dyDescent="0.25">
      <c r="A779">
        <v>21248</v>
      </c>
      <c r="B779">
        <v>4</v>
      </c>
      <c r="C779" s="5">
        <v>1.78766666666666E-2</v>
      </c>
      <c r="D779">
        <v>3</v>
      </c>
      <c r="E779" s="3">
        <f t="shared" si="27"/>
        <v>2.0679908183212733E-4</v>
      </c>
      <c r="F779" t="str">
        <f t="shared" si="28"/>
        <v/>
      </c>
    </row>
    <row r="780" spans="1:6" x14ac:dyDescent="0.25">
      <c r="A780">
        <v>21244</v>
      </c>
      <c r="B780">
        <v>4</v>
      </c>
      <c r="C780" s="5">
        <v>1.78733333333333E-2</v>
      </c>
      <c r="D780">
        <v>3</v>
      </c>
      <c r="E780" s="3">
        <f t="shared" si="27"/>
        <v>2.0676052149615304E-4</v>
      </c>
      <c r="F780" t="str">
        <f t="shared" si="28"/>
        <v/>
      </c>
    </row>
    <row r="781" spans="1:6" x14ac:dyDescent="0.25">
      <c r="A781">
        <v>21256</v>
      </c>
      <c r="B781">
        <v>4</v>
      </c>
      <c r="C781" s="5">
        <v>1.6E-2</v>
      </c>
      <c r="D781">
        <v>3</v>
      </c>
      <c r="E781" s="3">
        <f t="shared" si="27"/>
        <v>1.8508961267839173E-4</v>
      </c>
      <c r="F781" t="str">
        <f t="shared" si="28"/>
        <v/>
      </c>
    </row>
  </sheetData>
  <autoFilter ref="A1:F781" xr:uid="{0955285B-9522-4FC9-9747-347A06D07D7E}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5535F8D-4B15-4E97-83A0-C6E2C163A324}">
            <xm:f>IF(ISERROR(VLOOKUP($A2,'33 magicos'!$A$2:$A$34,1,0)),FALSE,TRUE)</xm:f>
            <x14:dxf>
              <font>
                <b/>
                <i val="0"/>
                <color auto="1"/>
              </font>
              <fill>
                <patternFill>
                  <bgColor rgb="FFFFC000"/>
                </patternFill>
              </fill>
            </x14:dxf>
          </x14:cfRule>
          <xm:sqref>A2:F781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03E4-4F69-471D-B62D-5911C39BA076}">
  <dimension ref="A1:I34"/>
  <sheetViews>
    <sheetView workbookViewId="0">
      <selection activeCell="I1" sqref="I1"/>
    </sheetView>
  </sheetViews>
  <sheetFormatPr baseColWidth="10" defaultRowHeight="15" x14ac:dyDescent="0.25"/>
  <cols>
    <col min="1" max="1" width="13.140625" bestFit="1" customWidth="1"/>
    <col min="2" max="2" width="14.7109375" bestFit="1" customWidth="1"/>
    <col min="3" max="3" width="22.140625" bestFit="1" customWidth="1"/>
    <col min="5" max="5" width="17.85546875" bestFit="1" customWidth="1"/>
    <col min="6" max="6" width="20.7109375" bestFit="1" customWidth="1"/>
    <col min="8" max="8" width="19.85546875" bestFit="1" customWidth="1"/>
  </cols>
  <sheetData>
    <row r="1" spans="1:9" x14ac:dyDescent="0.25">
      <c r="A1" s="7" t="s">
        <v>7</v>
      </c>
      <c r="B1" s="7" t="s">
        <v>6</v>
      </c>
      <c r="C1" s="7" t="s">
        <v>4</v>
      </c>
      <c r="E1" s="1" t="s">
        <v>1</v>
      </c>
      <c r="F1" t="s">
        <v>5</v>
      </c>
      <c r="H1" s="7" t="s">
        <v>4</v>
      </c>
    </row>
    <row r="2" spans="1:9" x14ac:dyDescent="0.25">
      <c r="A2">
        <v>20001</v>
      </c>
      <c r="B2">
        <f>VLOOKUP(A2,'780 a pred'!$A$2:$B$781,2,0)</f>
        <v>7</v>
      </c>
      <c r="C2" s="5">
        <v>1487.8554633333299</v>
      </c>
      <c r="E2" s="10">
        <v>0</v>
      </c>
      <c r="F2">
        <v>20</v>
      </c>
      <c r="G2" s="3">
        <f>F2/F$6</f>
        <v>0.60606060606060608</v>
      </c>
      <c r="H2" s="5">
        <f>SUMIF($B$2:$B$34,E2,$C$2:$C$34)</f>
        <v>2936.3771766666605</v>
      </c>
      <c r="I2" s="11">
        <f>H2/H$6</f>
        <v>0.3261788634783897</v>
      </c>
    </row>
    <row r="3" spans="1:9" x14ac:dyDescent="0.25">
      <c r="A3">
        <v>20002</v>
      </c>
      <c r="B3">
        <f>VLOOKUP(A3,'780 a pred'!$A$2:$B$781,2,0)</f>
        <v>3</v>
      </c>
      <c r="C3" s="5">
        <v>1496.8074300000001</v>
      </c>
      <c r="E3" s="10">
        <v>3</v>
      </c>
      <c r="F3">
        <v>3</v>
      </c>
      <c r="G3" s="9">
        <f t="shared" ref="G3:G6" si="0">F3/F$6</f>
        <v>9.0909090909090912E-2</v>
      </c>
      <c r="H3" s="5">
        <f t="shared" ref="H3:H5" si="1">SUMIF($B$2:$B$34,E3,$C$2:$C$34)</f>
        <v>2651.2458999999999</v>
      </c>
      <c r="I3" s="11">
        <f>H3/H$6</f>
        <v>0.29450589022947948</v>
      </c>
    </row>
    <row r="4" spans="1:9" x14ac:dyDescent="0.25">
      <c r="A4">
        <v>20003</v>
      </c>
      <c r="B4">
        <f>VLOOKUP(A4,'780 a pred'!$A$2:$B$781,2,0)</f>
        <v>3</v>
      </c>
      <c r="C4" s="5">
        <v>974.05389000000002</v>
      </c>
      <c r="E4" s="2">
        <v>5</v>
      </c>
      <c r="F4">
        <v>1</v>
      </c>
      <c r="G4" s="3">
        <f t="shared" si="0"/>
        <v>3.0303030303030304E-2</v>
      </c>
      <c r="H4" s="5">
        <f t="shared" si="1"/>
        <v>37.038730000000001</v>
      </c>
      <c r="I4" s="3">
        <f>H4/H$6</f>
        <v>4.114338904444635E-3</v>
      </c>
    </row>
    <row r="5" spans="1:9" x14ac:dyDescent="0.25">
      <c r="A5">
        <v>20006</v>
      </c>
      <c r="B5">
        <f>VLOOKUP(A5,'780 a pred'!$A$2:$B$781,2,0)</f>
        <v>0</v>
      </c>
      <c r="C5" s="5">
        <v>448.39092666666602</v>
      </c>
      <c r="E5" s="10">
        <v>7</v>
      </c>
      <c r="F5">
        <v>9</v>
      </c>
      <c r="G5" s="3">
        <f t="shared" si="0"/>
        <v>0.27272727272727271</v>
      </c>
      <c r="H5" s="5">
        <f t="shared" si="1"/>
        <v>3377.6909066666608</v>
      </c>
      <c r="I5" s="11">
        <f>H5/H$6</f>
        <v>0.37520090738768619</v>
      </c>
    </row>
    <row r="6" spans="1:9" x14ac:dyDescent="0.25">
      <c r="A6">
        <v>20008</v>
      </c>
      <c r="B6">
        <f>VLOOKUP(A6,'780 a pred'!$A$2:$B$781,2,0)</f>
        <v>0</v>
      </c>
      <c r="C6" s="5">
        <v>348.21294666666603</v>
      </c>
      <c r="E6" s="2" t="s">
        <v>2</v>
      </c>
      <c r="F6">
        <v>33</v>
      </c>
      <c r="G6" s="4">
        <f t="shared" si="0"/>
        <v>1</v>
      </c>
      <c r="H6" s="6">
        <f>SUM(H2:H5)</f>
        <v>9002.3527133333209</v>
      </c>
      <c r="I6" s="4">
        <f>H6/H$6</f>
        <v>1</v>
      </c>
    </row>
    <row r="7" spans="1:9" x14ac:dyDescent="0.25">
      <c r="A7">
        <v>20010</v>
      </c>
      <c r="B7">
        <f>VLOOKUP(A7,'780 a pred'!$A$2:$B$781,2,0)</f>
        <v>7</v>
      </c>
      <c r="C7" s="5">
        <v>426.46244666666598</v>
      </c>
      <c r="G7" s="3"/>
      <c r="H7" s="5"/>
      <c r="I7" s="3"/>
    </row>
    <row r="8" spans="1:9" x14ac:dyDescent="0.25">
      <c r="A8">
        <v>20011</v>
      </c>
      <c r="B8">
        <f>VLOOKUP(A8,'780 a pred'!$A$2:$B$781,2,0)</f>
        <v>0</v>
      </c>
      <c r="C8" s="5">
        <v>370.07333999999997</v>
      </c>
    </row>
    <row r="9" spans="1:9" x14ac:dyDescent="0.25">
      <c r="A9">
        <v>20017</v>
      </c>
      <c r="B9">
        <f>VLOOKUP(A9,'780 a pred'!$A$2:$B$781,2,0)</f>
        <v>0</v>
      </c>
      <c r="C9" s="5">
        <v>245.29899</v>
      </c>
    </row>
    <row r="10" spans="1:9" x14ac:dyDescent="0.25">
      <c r="A10">
        <v>20018</v>
      </c>
      <c r="B10">
        <f>VLOOKUP(A10,'780 a pred'!$A$2:$B$781,2,0)</f>
        <v>0</v>
      </c>
      <c r="C10" s="5">
        <v>224.56842333333299</v>
      </c>
    </row>
    <row r="11" spans="1:9" x14ac:dyDescent="0.25">
      <c r="A11">
        <v>20019</v>
      </c>
      <c r="B11">
        <f>VLOOKUP(A11,'780 a pred'!$A$2:$B$781,2,0)</f>
        <v>7</v>
      </c>
      <c r="C11" s="5">
        <v>394.184233333333</v>
      </c>
    </row>
    <row r="12" spans="1:9" x14ac:dyDescent="0.25">
      <c r="A12">
        <v>20021</v>
      </c>
      <c r="B12">
        <f>VLOOKUP(A12,'780 a pred'!$A$2:$B$781,2,0)</f>
        <v>7</v>
      </c>
      <c r="C12" s="5">
        <v>244.768206666666</v>
      </c>
    </row>
    <row r="13" spans="1:9" x14ac:dyDescent="0.25">
      <c r="A13">
        <v>20026</v>
      </c>
      <c r="B13">
        <f>VLOOKUP(A13,'780 a pred'!$A$2:$B$781,2,0)</f>
        <v>0</v>
      </c>
      <c r="C13" s="5">
        <v>306.54185333333299</v>
      </c>
    </row>
    <row r="14" spans="1:9" x14ac:dyDescent="0.25">
      <c r="A14">
        <v>20028</v>
      </c>
      <c r="B14">
        <f>VLOOKUP(A14,'780 a pred'!$A$2:$B$781,2,0)</f>
        <v>7</v>
      </c>
      <c r="C14" s="5">
        <v>171.26382000000001</v>
      </c>
    </row>
    <row r="15" spans="1:9" x14ac:dyDescent="0.25">
      <c r="A15">
        <v>20035</v>
      </c>
      <c r="B15">
        <f>VLOOKUP(A15,'780 a pred'!$A$2:$B$781,2,0)</f>
        <v>7</v>
      </c>
      <c r="C15" s="5">
        <v>168.89314999999999</v>
      </c>
    </row>
    <row r="16" spans="1:9" x14ac:dyDescent="0.25">
      <c r="A16">
        <v>20039</v>
      </c>
      <c r="B16">
        <f>VLOOKUP(A16,'780 a pred'!$A$2:$B$781,2,0)</f>
        <v>0</v>
      </c>
      <c r="C16" s="5">
        <v>148.752266666666</v>
      </c>
    </row>
    <row r="17" spans="1:3" x14ac:dyDescent="0.25">
      <c r="A17">
        <v>20042</v>
      </c>
      <c r="B17">
        <f>VLOOKUP(A17,'780 a pred'!$A$2:$B$781,2,0)</f>
        <v>0</v>
      </c>
      <c r="C17" s="5">
        <v>181.32715666666601</v>
      </c>
    </row>
    <row r="18" spans="1:3" x14ac:dyDescent="0.25">
      <c r="A18">
        <v>20044</v>
      </c>
      <c r="B18">
        <f>VLOOKUP(A18,'780 a pred'!$A$2:$B$781,2,0)</f>
        <v>0</v>
      </c>
      <c r="C18" s="5">
        <v>164.60371000000001</v>
      </c>
    </row>
    <row r="19" spans="1:3" x14ac:dyDescent="0.25">
      <c r="A19">
        <v>20045</v>
      </c>
      <c r="B19">
        <f>VLOOKUP(A19,'780 a pred'!$A$2:$B$781,2,0)</f>
        <v>7</v>
      </c>
      <c r="C19" s="5">
        <v>167.93541999999999</v>
      </c>
    </row>
    <row r="20" spans="1:3" x14ac:dyDescent="0.25">
      <c r="A20">
        <v>20046</v>
      </c>
      <c r="B20">
        <f>VLOOKUP(A20,'780 a pred'!$A$2:$B$781,2,0)</f>
        <v>3</v>
      </c>
      <c r="C20" s="5">
        <v>180.38458</v>
      </c>
    </row>
    <row r="21" spans="1:3" x14ac:dyDescent="0.25">
      <c r="A21">
        <v>20049</v>
      </c>
      <c r="B21">
        <f>VLOOKUP(A21,'780 a pred'!$A$2:$B$781,2,0)</f>
        <v>7</v>
      </c>
      <c r="C21" s="5">
        <v>179.58668</v>
      </c>
    </row>
    <row r="22" spans="1:3" x14ac:dyDescent="0.25">
      <c r="A22">
        <v>20051</v>
      </c>
      <c r="B22">
        <f>VLOOKUP(A22,'780 a pred'!$A$2:$B$781,2,0)</f>
        <v>7</v>
      </c>
      <c r="C22" s="5">
        <v>136.74148666666599</v>
      </c>
    </row>
    <row r="23" spans="1:3" x14ac:dyDescent="0.25">
      <c r="A23">
        <v>20052</v>
      </c>
      <c r="B23">
        <f>VLOOKUP(A23,'780 a pred'!$A$2:$B$781,2,0)</f>
        <v>0</v>
      </c>
      <c r="C23" s="5">
        <v>114.652546666666</v>
      </c>
    </row>
    <row r="24" spans="1:3" x14ac:dyDescent="0.25">
      <c r="A24">
        <v>20053</v>
      </c>
      <c r="B24">
        <f>VLOOKUP(A24,'780 a pred'!$A$2:$B$781,2,0)</f>
        <v>0</v>
      </c>
      <c r="C24" s="5">
        <v>157.45154666666599</v>
      </c>
    </row>
    <row r="25" spans="1:3" x14ac:dyDescent="0.25">
      <c r="A25">
        <v>20055</v>
      </c>
      <c r="B25">
        <f>VLOOKUP(A25,'780 a pred'!$A$2:$B$781,2,0)</f>
        <v>0</v>
      </c>
      <c r="C25" s="5">
        <v>98.7124799999999</v>
      </c>
    </row>
    <row r="26" spans="1:3" x14ac:dyDescent="0.25">
      <c r="A26">
        <v>20086</v>
      </c>
      <c r="B26">
        <f>VLOOKUP(A26,'780 a pred'!$A$2:$B$781,2,0)</f>
        <v>0</v>
      </c>
      <c r="C26" s="5">
        <v>54.668999999999997</v>
      </c>
    </row>
    <row r="27" spans="1:3" x14ac:dyDescent="0.25">
      <c r="A27">
        <v>20180</v>
      </c>
      <c r="B27">
        <f>VLOOKUP(A27,'780 a pred'!$A$2:$B$781,2,0)</f>
        <v>5</v>
      </c>
      <c r="C27" s="5">
        <v>37.038730000000001</v>
      </c>
    </row>
    <row r="28" spans="1:3" x14ac:dyDescent="0.25">
      <c r="A28">
        <v>20193</v>
      </c>
      <c r="B28">
        <f>VLOOKUP(A28,'780 a pred'!$A$2:$B$781,2,0)</f>
        <v>0</v>
      </c>
      <c r="C28" s="5">
        <v>35.864366666666598</v>
      </c>
    </row>
    <row r="29" spans="1:3" x14ac:dyDescent="0.25">
      <c r="A29">
        <v>20320</v>
      </c>
      <c r="B29">
        <f>VLOOKUP(A29,'780 a pred'!$A$2:$B$781,2,0)</f>
        <v>0</v>
      </c>
      <c r="C29" s="5">
        <v>15.193449999999901</v>
      </c>
    </row>
    <row r="30" spans="1:3" x14ac:dyDescent="0.25">
      <c r="A30">
        <v>20532</v>
      </c>
      <c r="B30">
        <f>VLOOKUP(A30,'780 a pred'!$A$2:$B$781,2,0)</f>
        <v>0</v>
      </c>
      <c r="C30" s="5">
        <v>5.9688400000000001</v>
      </c>
    </row>
    <row r="31" spans="1:3" x14ac:dyDescent="0.25">
      <c r="A31">
        <v>20612</v>
      </c>
      <c r="B31">
        <f>VLOOKUP(A31,'780 a pred'!$A$2:$B$781,2,0)</f>
        <v>0</v>
      </c>
      <c r="C31" s="5">
        <v>6.8226799999999903</v>
      </c>
    </row>
    <row r="32" spans="1:3" x14ac:dyDescent="0.25">
      <c r="A32">
        <v>20637</v>
      </c>
      <c r="B32">
        <f>VLOOKUP(A32,'780 a pred'!$A$2:$B$781,2,0)</f>
        <v>0</v>
      </c>
      <c r="C32" s="5">
        <v>5.0585033333333298</v>
      </c>
    </row>
    <row r="33" spans="1:3" x14ac:dyDescent="0.25">
      <c r="A33">
        <v>20807</v>
      </c>
      <c r="B33">
        <f>VLOOKUP(A33,'780 a pred'!$A$2:$B$781,2,0)</f>
        <v>0</v>
      </c>
      <c r="C33" s="5">
        <v>2.46464333333333</v>
      </c>
    </row>
    <row r="34" spans="1:3" x14ac:dyDescent="0.25">
      <c r="A34">
        <v>20838</v>
      </c>
      <c r="B34">
        <f>VLOOKUP(A34,'780 a pred'!$A$2:$B$781,2,0)</f>
        <v>0</v>
      </c>
      <c r="C34" s="5">
        <v>1.7495066666666601</v>
      </c>
    </row>
  </sheetData>
  <autoFilter ref="A1:C1" xr:uid="{4D4B03E4-4F69-471D-B62D-5911C39BA076}"/>
  <sortState xmlns:xlrd2="http://schemas.microsoft.com/office/spreadsheetml/2017/richdata2" ref="A2:C34">
    <sortCondition ref="A2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780 a pred</vt:lpstr>
      <vt:lpstr>33 magicos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A. Cicconi</dc:creator>
  <cp:lastModifiedBy>PROVSER 1</cp:lastModifiedBy>
  <dcterms:created xsi:type="dcterms:W3CDTF">2025-08-07T03:58:10Z</dcterms:created>
  <dcterms:modified xsi:type="dcterms:W3CDTF">2025-08-09T21:17:42Z</dcterms:modified>
</cp:coreProperties>
</file>