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Repositorios-Ing.Carlos-Cicconi\labo3-2025r\Outputs\Dinamic Time Warping (DTW)\"/>
    </mc:Choice>
  </mc:AlternateContent>
  <xr:revisionPtr revIDLastSave="0" documentId="13_ncr:1_{A1D9A61A-676E-4B6B-B71B-C93B7D063E78}" xr6:coauthVersionLast="47" xr6:coauthVersionMax="47" xr10:uidLastSave="{00000000-0000-0000-0000-000000000000}"/>
  <bookViews>
    <workbookView xWindow="-120" yWindow="-120" windowWidth="20730" windowHeight="11160" xr2:uid="{8296AF15-5D41-4D82-B84C-935D801E8732}"/>
  </bookViews>
  <sheets>
    <sheet name="780 a pred" sheetId="1" r:id="rId1"/>
    <sheet name="33 magicos" sheetId="2" r:id="rId2"/>
  </sheets>
  <definedNames>
    <definedName name="_xlnm._FilterDatabase" localSheetId="1" hidden="1">'33 magicos'!$A$1:$C$1</definedName>
    <definedName name="_xlnm._FilterDatabase" localSheetId="0" hidden="1">'780 a pred'!$A$1:$F$781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1" i="1" l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B3" i="2"/>
  <c r="G2" i="2"/>
  <c r="B4" i="2"/>
  <c r="G3" i="2"/>
  <c r="B5" i="2"/>
  <c r="G4" i="2"/>
  <c r="B7" i="2"/>
  <c r="G5" i="2"/>
  <c r="B8" i="2"/>
  <c r="G6" i="2"/>
  <c r="B10" i="2"/>
  <c r="G7" i="2"/>
  <c r="B11" i="2"/>
  <c r="G8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6" i="2"/>
  <c r="B2" i="2"/>
  <c r="B9" i="2"/>
  <c r="B26" i="2"/>
  <c r="B27" i="2"/>
  <c r="B28" i="2"/>
  <c r="B29" i="2"/>
  <c r="B30" i="2"/>
  <c r="B31" i="2"/>
  <c r="B32" i="2"/>
  <c r="B33" i="2"/>
  <c r="B34" i="2"/>
  <c r="K9" i="1"/>
  <c r="K8" i="1"/>
  <c r="K7" i="1"/>
  <c r="K6" i="1"/>
  <c r="K5" i="1"/>
  <c r="K4" i="1"/>
  <c r="K3" i="1"/>
  <c r="K2" i="1"/>
  <c r="J10" i="1"/>
  <c r="J9" i="1"/>
  <c r="J8" i="1"/>
  <c r="J7" i="1"/>
  <c r="J6" i="1"/>
  <c r="J5" i="1"/>
  <c r="J4" i="1"/>
  <c r="J3" i="1"/>
  <c r="J2" i="1"/>
  <c r="H4" i="2" l="1"/>
  <c r="H7" i="2"/>
  <c r="H3" i="2"/>
  <c r="H6" i="2"/>
  <c r="H5" i="2"/>
  <c r="H2" i="2"/>
  <c r="K10" i="1"/>
  <c r="L8" i="1" s="1"/>
  <c r="L9" i="1" l="1"/>
  <c r="H8" i="2"/>
  <c r="I5" i="2" s="1"/>
  <c r="L6" i="1"/>
  <c r="L5" i="1"/>
  <c r="L2" i="1"/>
  <c r="L10" i="1"/>
  <c r="L3" i="1"/>
  <c r="L7" i="1"/>
  <c r="L4" i="1"/>
  <c r="I4" i="2" l="1"/>
  <c r="I3" i="2"/>
  <c r="I7" i="2"/>
  <c r="I6" i="2"/>
  <c r="I8" i="2"/>
  <c r="I2" i="2"/>
</calcChain>
</file>

<file path=xl/sharedStrings.xml><?xml version="1.0" encoding="utf-8"?>
<sst xmlns="http://schemas.openxmlformats.org/spreadsheetml/2006/main" count="183" uniqueCount="23">
  <si>
    <t>product_id</t>
  </si>
  <si>
    <t>cluster</t>
  </si>
  <si>
    <t>Etiquetas de fila</t>
  </si>
  <si>
    <t>Total general</t>
  </si>
  <si>
    <t>(en blanco)</t>
  </si>
  <si>
    <t>Cuenta de product_id</t>
  </si>
  <si>
    <t>Tons Prom Oct-Dic19</t>
  </si>
  <si>
    <t>Cuenta de Product_ID</t>
  </si>
  <si>
    <t>Cluster DTW</t>
  </si>
  <si>
    <t>Product_ID</t>
  </si>
  <si>
    <t>1ro</t>
  </si>
  <si>
    <t>2do</t>
  </si>
  <si>
    <t>3ro</t>
  </si>
  <si>
    <t>4to</t>
  </si>
  <si>
    <t>5to</t>
  </si>
  <si>
    <t>6to</t>
  </si>
  <si>
    <t>7mo</t>
  </si>
  <si>
    <t>8vo</t>
  </si>
  <si>
    <t>Ranking por Ton</t>
  </si>
  <si>
    <t>#Meses completos Ene-Dic'18</t>
  </si>
  <si>
    <t>%Ton/Cluster</t>
  </si>
  <si>
    <t>Seleccionado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</si>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</sst>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4" fontId="16" fillId="0" borderId="0" xfId="1" applyNumberFormat="1" applyFont="1"/>
    <xf numFmtId="0" fontId="0" fillId="33" borderId="0" xfId="0" applyFill="1"/>
    <xf numFmtId="164" fontId="0" fillId="33" borderId="0" xfId="1" applyNumberFormat="1" applyFont="1" applyFill="1"/>
    <xf numFmtId="4" fontId="0" fillId="0" borderId="0" xfId="0" applyNumberFormat="1"/>
    <xf numFmtId="4" fontId="16" fillId="0" borderId="0" xfId="0" applyNumberFormat="1" applyFont="1"/>
    <xf numFmtId="0" fontId="16" fillId="0" borderId="0" xfId="0" applyFont="1"/>
    <xf numFmtId="0" fontId="0" fillId="0" borderId="0" xfId="0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3"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1" defaultTableStyle="TableStyleMedium2" defaultPivotStyle="PivotStyleLight16">
    <tableStyle name="Invisible" pivot="0" table="0" count="0" xr9:uid="{CB62BBD0-DBA0-4143-A68D-BB1C135C90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lusters_dtw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icconi" refreshedDate="45876.003517939818" createdVersion="8" refreshedVersion="8" minRefreshableVersion="3" recordCount="780" xr:uid="{B398C429-029E-4B94-B38B-8B5201AE1012}">
  <cacheSource type="worksheet">
    <worksheetSource ref="A1:B781" sheet="780 a pred"/>
  </cacheSource>
  <cacheFields count="2">
    <cacheField name="product_id" numFmtId="0">
      <sharedItems containsSemiMixedTypes="0" containsString="0" containsNumber="1" containsInteger="1" minValue="20001" maxValue="21276" count="780">
        <n v="20001"/>
        <n v="20002"/>
        <n v="20003"/>
        <n v="20004"/>
        <n v="20005"/>
        <n v="20006"/>
        <n v="20007"/>
        <n v="20008"/>
        <n v="20009"/>
        <n v="20010"/>
        <n v="20011"/>
        <n v="20012"/>
        <n v="20013"/>
        <n v="20014"/>
        <n v="20015"/>
        <n v="20016"/>
        <n v="20017"/>
        <n v="20018"/>
        <n v="20019"/>
        <n v="20020"/>
        <n v="20021"/>
        <n v="20022"/>
        <n v="20023"/>
        <n v="20024"/>
        <n v="20025"/>
        <n v="20026"/>
        <n v="20027"/>
        <n v="20028"/>
        <n v="20029"/>
        <n v="20030"/>
        <n v="20031"/>
        <n v="20032"/>
        <n v="20033"/>
        <n v="20035"/>
        <n v="20037"/>
        <n v="20038"/>
        <n v="20039"/>
        <n v="20041"/>
        <n v="20042"/>
        <n v="20043"/>
        <n v="20044"/>
        <n v="20045"/>
        <n v="20046"/>
        <n v="20047"/>
        <n v="20049"/>
        <n v="20050"/>
        <n v="20051"/>
        <n v="20052"/>
        <n v="20053"/>
        <n v="20054"/>
        <n v="20055"/>
        <n v="20056"/>
        <n v="20057"/>
        <n v="20058"/>
        <n v="20059"/>
        <n v="20061"/>
        <n v="20062"/>
        <n v="20063"/>
        <n v="20065"/>
        <n v="20066"/>
        <n v="20067"/>
        <n v="20068"/>
        <n v="20069"/>
        <n v="20070"/>
        <n v="20071"/>
        <n v="20072"/>
        <n v="20073"/>
        <n v="20074"/>
        <n v="20075"/>
        <n v="20076"/>
        <n v="20077"/>
        <n v="20079"/>
        <n v="20080"/>
        <n v="20081"/>
        <n v="20082"/>
        <n v="20084"/>
        <n v="20085"/>
        <n v="20086"/>
        <n v="20087"/>
        <n v="20089"/>
        <n v="20090"/>
        <n v="20091"/>
        <n v="20092"/>
        <n v="20093"/>
        <n v="20094"/>
        <n v="20095"/>
        <n v="20096"/>
        <n v="20097"/>
        <n v="20099"/>
        <n v="20100"/>
        <n v="20101"/>
        <n v="20102"/>
        <n v="20103"/>
        <n v="20106"/>
        <n v="20107"/>
        <n v="20108"/>
        <n v="20109"/>
        <n v="20111"/>
        <n v="20112"/>
        <n v="20114"/>
        <n v="20116"/>
        <n v="20117"/>
        <n v="20118"/>
        <n v="20119"/>
        <n v="20120"/>
        <n v="20121"/>
        <n v="20122"/>
        <n v="20123"/>
        <n v="20124"/>
        <n v="20125"/>
        <n v="20126"/>
        <n v="20127"/>
        <n v="20129"/>
        <n v="20130"/>
        <n v="20132"/>
        <n v="20133"/>
        <n v="20134"/>
        <n v="20135"/>
        <n v="20137"/>
        <n v="20138"/>
        <n v="20139"/>
        <n v="20140"/>
        <n v="20142"/>
        <n v="20143"/>
        <n v="20144"/>
        <n v="20145"/>
        <n v="20146"/>
        <n v="20148"/>
        <n v="20150"/>
        <n v="20151"/>
        <n v="20152"/>
        <n v="20153"/>
        <n v="20155"/>
        <n v="20157"/>
        <n v="20158"/>
        <n v="20159"/>
        <n v="20160"/>
        <n v="20161"/>
        <n v="20162"/>
        <n v="20164"/>
        <n v="20166"/>
        <n v="20167"/>
        <n v="20168"/>
        <n v="20170"/>
        <n v="20174"/>
        <n v="20175"/>
        <n v="20176"/>
        <n v="20177"/>
        <n v="20179"/>
        <n v="20180"/>
        <n v="20181"/>
        <n v="20182"/>
        <n v="20183"/>
        <n v="20184"/>
        <n v="20187"/>
        <n v="20188"/>
        <n v="20189"/>
        <n v="20192"/>
        <n v="20193"/>
        <n v="20196"/>
        <n v="20197"/>
        <n v="20198"/>
        <n v="20200"/>
        <n v="20201"/>
        <n v="20202"/>
        <n v="20203"/>
        <n v="20205"/>
        <n v="20206"/>
        <n v="20207"/>
        <n v="20208"/>
        <n v="20209"/>
        <n v="20210"/>
        <n v="20211"/>
        <n v="20212"/>
        <n v="20213"/>
        <n v="20215"/>
        <n v="20216"/>
        <n v="20218"/>
        <n v="20219"/>
        <n v="20220"/>
        <n v="20222"/>
        <n v="20224"/>
        <n v="20225"/>
        <n v="20226"/>
        <n v="20227"/>
        <n v="20228"/>
        <n v="20230"/>
        <n v="20231"/>
        <n v="20232"/>
        <n v="20233"/>
        <n v="20234"/>
        <n v="20235"/>
        <n v="20236"/>
        <n v="20237"/>
        <n v="20238"/>
        <n v="20239"/>
        <n v="20240"/>
        <n v="20241"/>
        <n v="20242"/>
        <n v="20244"/>
        <n v="20246"/>
        <n v="20249"/>
        <n v="20251"/>
        <n v="20252"/>
        <n v="20253"/>
        <n v="20254"/>
        <n v="20255"/>
        <n v="20256"/>
        <n v="20257"/>
        <n v="20259"/>
        <n v="20261"/>
        <n v="20262"/>
        <n v="20263"/>
        <n v="20264"/>
        <n v="20265"/>
        <n v="20266"/>
        <n v="20267"/>
        <n v="20268"/>
        <n v="20269"/>
        <n v="20270"/>
        <n v="20271"/>
        <n v="20272"/>
        <n v="20273"/>
        <n v="20275"/>
        <n v="20276"/>
        <n v="20277"/>
        <n v="20278"/>
        <n v="20280"/>
        <n v="20281"/>
        <n v="20282"/>
        <n v="20283"/>
        <n v="20284"/>
        <n v="20285"/>
        <n v="20286"/>
        <n v="20288"/>
        <n v="20289"/>
        <n v="20290"/>
        <n v="20291"/>
        <n v="20292"/>
        <n v="20295"/>
        <n v="20296"/>
        <n v="20297"/>
        <n v="20298"/>
        <n v="20299"/>
        <n v="20300"/>
        <n v="20301"/>
        <n v="20302"/>
        <n v="20303"/>
        <n v="20304"/>
        <n v="20305"/>
        <n v="20306"/>
        <n v="20307"/>
        <n v="20309"/>
        <n v="20310"/>
        <n v="20311"/>
        <n v="20313"/>
        <n v="20314"/>
        <n v="20315"/>
        <n v="20316"/>
        <n v="20317"/>
        <n v="20319"/>
        <n v="20320"/>
        <n v="20321"/>
        <n v="20322"/>
        <n v="20323"/>
        <n v="20324"/>
        <n v="20325"/>
        <n v="20326"/>
        <n v="20327"/>
        <n v="20328"/>
        <n v="20329"/>
        <n v="20330"/>
        <n v="20332"/>
        <n v="20334"/>
        <n v="20335"/>
        <n v="20336"/>
        <n v="20337"/>
        <n v="20338"/>
        <n v="20340"/>
        <n v="20341"/>
        <n v="20342"/>
        <n v="20343"/>
        <n v="20344"/>
        <n v="20346"/>
        <n v="20348"/>
        <n v="20349"/>
        <n v="20350"/>
        <n v="20351"/>
        <n v="20352"/>
        <n v="20353"/>
        <n v="20354"/>
        <n v="20355"/>
        <n v="20356"/>
        <n v="20357"/>
        <n v="20358"/>
        <n v="20359"/>
        <n v="20361"/>
        <n v="20362"/>
        <n v="20364"/>
        <n v="20365"/>
        <n v="20366"/>
        <n v="20367"/>
        <n v="20368"/>
        <n v="20372"/>
        <n v="20375"/>
        <n v="20377"/>
        <n v="20378"/>
        <n v="20379"/>
        <n v="20380"/>
        <n v="20381"/>
        <n v="20382"/>
        <n v="20383"/>
        <n v="20384"/>
        <n v="20385"/>
        <n v="20386"/>
        <n v="20387"/>
        <n v="20388"/>
        <n v="20389"/>
        <n v="20390"/>
        <n v="20395"/>
        <n v="20396"/>
        <n v="20398"/>
        <n v="20400"/>
        <n v="20401"/>
        <n v="20402"/>
        <n v="20403"/>
        <n v="20404"/>
        <n v="20406"/>
        <n v="20407"/>
        <n v="20408"/>
        <n v="20409"/>
        <n v="20410"/>
        <n v="20411"/>
        <n v="20414"/>
        <n v="20415"/>
        <n v="20416"/>
        <n v="20417"/>
        <n v="20418"/>
        <n v="20419"/>
        <n v="20421"/>
        <n v="20422"/>
        <n v="20424"/>
        <n v="20426"/>
        <n v="20428"/>
        <n v="20429"/>
        <n v="20432"/>
        <n v="20433"/>
        <n v="20434"/>
        <n v="20438"/>
        <n v="20440"/>
        <n v="20442"/>
        <n v="20443"/>
        <n v="20447"/>
        <n v="20449"/>
        <n v="20450"/>
        <n v="20453"/>
        <n v="20456"/>
        <n v="20458"/>
        <n v="20459"/>
        <n v="20460"/>
        <n v="20463"/>
        <n v="20464"/>
        <n v="20465"/>
        <n v="20466"/>
        <n v="20469"/>
        <n v="20470"/>
        <n v="20473"/>
        <n v="20474"/>
        <n v="20476"/>
        <n v="20477"/>
        <n v="20478"/>
        <n v="20479"/>
        <n v="20480"/>
        <n v="20481"/>
        <n v="20482"/>
        <n v="20483"/>
        <n v="20484"/>
        <n v="20488"/>
        <n v="20490"/>
        <n v="20491"/>
        <n v="20495"/>
        <n v="20496"/>
        <n v="20497"/>
        <n v="20500"/>
        <n v="20502"/>
        <n v="20503"/>
        <n v="20505"/>
        <n v="20508"/>
        <n v="20509"/>
        <n v="20510"/>
        <n v="20513"/>
        <n v="20514"/>
        <n v="20517"/>
        <n v="20520"/>
        <n v="20521"/>
        <n v="20522"/>
        <n v="20523"/>
        <n v="20524"/>
        <n v="20525"/>
        <n v="20526"/>
        <n v="20527"/>
        <n v="20530"/>
        <n v="20531"/>
        <n v="20532"/>
        <n v="20536"/>
        <n v="20537"/>
        <n v="20538"/>
        <n v="20539"/>
        <n v="20540"/>
        <n v="20541"/>
        <n v="20542"/>
        <n v="20544"/>
        <n v="20547"/>
        <n v="20548"/>
        <n v="20549"/>
        <n v="20551"/>
        <n v="20552"/>
        <n v="20553"/>
        <n v="20555"/>
        <n v="20558"/>
        <n v="20559"/>
        <n v="20560"/>
        <n v="20561"/>
        <n v="20563"/>
        <n v="20565"/>
        <n v="20567"/>
        <n v="20568"/>
        <n v="20569"/>
        <n v="20570"/>
        <n v="20571"/>
        <n v="20572"/>
        <n v="20574"/>
        <n v="20575"/>
        <n v="20576"/>
        <n v="20577"/>
        <n v="20578"/>
        <n v="20579"/>
        <n v="20580"/>
        <n v="20583"/>
        <n v="20585"/>
        <n v="20586"/>
        <n v="20588"/>
        <n v="20589"/>
        <n v="20592"/>
        <n v="20593"/>
        <n v="20596"/>
        <n v="20597"/>
        <n v="20599"/>
        <n v="20600"/>
        <n v="20601"/>
        <n v="20602"/>
        <n v="20603"/>
        <n v="20604"/>
        <n v="20605"/>
        <n v="20606"/>
        <n v="20609"/>
        <n v="20611"/>
        <n v="20612"/>
        <n v="20614"/>
        <n v="20615"/>
        <n v="20617"/>
        <n v="20620"/>
        <n v="20621"/>
        <n v="20622"/>
        <n v="20623"/>
        <n v="20624"/>
        <n v="20627"/>
        <n v="20628"/>
        <n v="20629"/>
        <n v="20632"/>
        <n v="20633"/>
        <n v="20636"/>
        <n v="20637"/>
        <n v="20638"/>
        <n v="20639"/>
        <n v="20640"/>
        <n v="20641"/>
        <n v="20642"/>
        <n v="20644"/>
        <n v="20646"/>
        <n v="20647"/>
        <n v="20649"/>
        <n v="20651"/>
        <n v="20652"/>
        <n v="20653"/>
        <n v="20654"/>
        <n v="20655"/>
        <n v="20657"/>
        <n v="20658"/>
        <n v="20659"/>
        <n v="20660"/>
        <n v="20661"/>
        <n v="20662"/>
        <n v="20663"/>
        <n v="20664"/>
        <n v="20666"/>
        <n v="20667"/>
        <n v="20670"/>
        <n v="20672"/>
        <n v="20673"/>
        <n v="20674"/>
        <n v="20676"/>
        <n v="20677"/>
        <n v="20678"/>
        <n v="20679"/>
        <n v="20680"/>
        <n v="20681"/>
        <n v="20682"/>
        <n v="20684"/>
        <n v="20685"/>
        <n v="20686"/>
        <n v="20689"/>
        <n v="20691"/>
        <n v="20693"/>
        <n v="20694"/>
        <n v="20696"/>
        <n v="20697"/>
        <n v="20699"/>
        <n v="20700"/>
        <n v="20701"/>
        <n v="20702"/>
        <n v="20703"/>
        <n v="20705"/>
        <n v="20706"/>
        <n v="20708"/>
        <n v="20709"/>
        <n v="20711"/>
        <n v="20713"/>
        <n v="20714"/>
        <n v="20715"/>
        <n v="20719"/>
        <n v="20720"/>
        <n v="20721"/>
        <n v="20724"/>
        <n v="20729"/>
        <n v="20730"/>
        <n v="20732"/>
        <n v="20733"/>
        <n v="20735"/>
        <n v="20737"/>
        <n v="20739"/>
        <n v="20741"/>
        <n v="20742"/>
        <n v="20743"/>
        <n v="20744"/>
        <n v="20745"/>
        <n v="20746"/>
        <n v="20749"/>
        <n v="20750"/>
        <n v="20751"/>
        <n v="20754"/>
        <n v="20756"/>
        <n v="20757"/>
        <n v="20758"/>
        <n v="20759"/>
        <n v="20761"/>
        <n v="20762"/>
        <n v="20765"/>
        <n v="20768"/>
        <n v="20771"/>
        <n v="20772"/>
        <n v="20773"/>
        <n v="20774"/>
        <n v="20775"/>
        <n v="20777"/>
        <n v="20781"/>
        <n v="20783"/>
        <n v="20785"/>
        <n v="20786"/>
        <n v="20788"/>
        <n v="20789"/>
        <n v="20793"/>
        <n v="20795"/>
        <n v="20800"/>
        <n v="20801"/>
        <n v="20802"/>
        <n v="20803"/>
        <n v="20807"/>
        <n v="20809"/>
        <n v="20810"/>
        <n v="20811"/>
        <n v="20812"/>
        <n v="20815"/>
        <n v="20817"/>
        <n v="20818"/>
        <n v="20820"/>
        <n v="20822"/>
        <n v="20823"/>
        <n v="20824"/>
        <n v="20826"/>
        <n v="20827"/>
        <n v="20828"/>
        <n v="20830"/>
        <n v="20831"/>
        <n v="20832"/>
        <n v="20835"/>
        <n v="20838"/>
        <n v="20840"/>
        <n v="20843"/>
        <n v="20845"/>
        <n v="20846"/>
        <n v="20847"/>
        <n v="20849"/>
        <n v="20852"/>
        <n v="20853"/>
        <n v="20855"/>
        <n v="20859"/>
        <n v="20862"/>
        <n v="20863"/>
        <n v="20864"/>
        <n v="20865"/>
        <n v="20870"/>
        <n v="20877"/>
        <n v="20878"/>
        <n v="20879"/>
        <n v="20882"/>
        <n v="20883"/>
        <n v="20885"/>
        <n v="20886"/>
        <n v="20892"/>
        <n v="20894"/>
        <n v="20899"/>
        <n v="20901"/>
        <n v="20902"/>
        <n v="20904"/>
        <n v="20906"/>
        <n v="20907"/>
        <n v="20908"/>
        <n v="20910"/>
        <n v="20912"/>
        <n v="20913"/>
        <n v="20914"/>
        <n v="20917"/>
        <n v="20919"/>
        <n v="20920"/>
        <n v="20922"/>
        <n v="20924"/>
        <n v="20925"/>
        <n v="20927"/>
        <n v="20928"/>
        <n v="20931"/>
        <n v="20932"/>
        <n v="20933"/>
        <n v="20936"/>
        <n v="20937"/>
        <n v="20941"/>
        <n v="20942"/>
        <n v="20945"/>
        <n v="20946"/>
        <n v="20947"/>
        <n v="20948"/>
        <n v="20949"/>
        <n v="20951"/>
        <n v="20953"/>
        <n v="20956"/>
        <n v="20957"/>
        <n v="20961"/>
        <n v="20962"/>
        <n v="20965"/>
        <n v="20966"/>
        <n v="20967"/>
        <n v="20968"/>
        <n v="20970"/>
        <n v="20975"/>
        <n v="20976"/>
        <n v="20982"/>
        <n v="20985"/>
        <n v="20986"/>
        <n v="20987"/>
        <n v="20990"/>
        <n v="20991"/>
        <n v="20994"/>
        <n v="20995"/>
        <n v="20996"/>
        <n v="20997"/>
        <n v="21001"/>
        <n v="21003"/>
        <n v="21006"/>
        <n v="21007"/>
        <n v="21008"/>
        <n v="21014"/>
        <n v="21016"/>
        <n v="21022"/>
        <n v="21024"/>
        <n v="21027"/>
        <n v="21028"/>
        <n v="21032"/>
        <n v="21033"/>
        <n v="21034"/>
        <n v="21035"/>
        <n v="21037"/>
        <n v="21038"/>
        <n v="21039"/>
        <n v="21040"/>
        <n v="21042"/>
        <n v="21044"/>
        <n v="21048"/>
        <n v="21049"/>
        <n v="21055"/>
        <n v="21056"/>
        <n v="21057"/>
        <n v="21058"/>
        <n v="21064"/>
        <n v="21065"/>
        <n v="21073"/>
        <n v="21074"/>
        <n v="21077"/>
        <n v="21079"/>
        <n v="21080"/>
        <n v="21084"/>
        <n v="21086"/>
        <n v="21087"/>
        <n v="21088"/>
        <n v="21092"/>
        <n v="21093"/>
        <n v="21097"/>
        <n v="21099"/>
        <n v="21105"/>
        <n v="21109"/>
        <n v="21110"/>
        <n v="21111"/>
        <n v="21112"/>
        <n v="21114"/>
        <n v="21118"/>
        <n v="21119"/>
        <n v="21126"/>
        <n v="21129"/>
        <n v="21131"/>
        <n v="21135"/>
        <n v="21140"/>
        <n v="21142"/>
        <n v="21144"/>
        <n v="21146"/>
        <n v="21153"/>
        <n v="21154"/>
        <n v="21155"/>
        <n v="21157"/>
        <n v="21159"/>
        <n v="21163"/>
        <n v="21164"/>
        <n v="21167"/>
        <n v="21168"/>
        <n v="21170"/>
        <n v="21171"/>
        <n v="21176"/>
        <n v="21179"/>
        <n v="21180"/>
        <n v="21182"/>
        <n v="21184"/>
        <n v="21190"/>
        <n v="21191"/>
        <n v="21192"/>
        <n v="21194"/>
        <n v="21196"/>
        <n v="21200"/>
        <n v="21201"/>
        <n v="21202"/>
        <n v="21207"/>
        <n v="21209"/>
        <n v="21212"/>
        <n v="21214"/>
        <n v="21218"/>
        <n v="21222"/>
        <n v="21224"/>
        <n v="21226"/>
        <n v="21227"/>
        <n v="21233"/>
        <n v="21244"/>
        <n v="21245"/>
        <n v="21246"/>
        <n v="21248"/>
        <n v="21252"/>
        <n v="21256"/>
        <n v="21259"/>
        <n v="21262"/>
        <n v="21263"/>
        <n v="21265"/>
        <n v="21266"/>
        <n v="21267"/>
        <n v="21276"/>
      </sharedItems>
    </cacheField>
    <cacheField name="cluster" numFmtId="0">
      <sharedItems containsString="0" containsBlank="1" containsNumber="1" containsInteger="1" minValue="1" maxValue="7" count="8">
        <n v="4"/>
        <n v="7"/>
        <n v="6"/>
        <n v="2"/>
        <n v="3"/>
        <n v="1"/>
        <m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icconi" refreshedDate="45876.006563194445" createdVersion="8" refreshedVersion="8" minRefreshableVersion="3" recordCount="33" xr:uid="{12486B2A-620E-4B88-A79B-E2F3E111E470}">
  <cacheSource type="worksheet">
    <worksheetSource ref="A1:B34" sheet="Hoja1" r:id="rId2"/>
  </cacheSource>
  <cacheFields count="2">
    <cacheField name="Product_ID" numFmtId="0">
      <sharedItems containsSemiMixedTypes="0" containsString="0" containsNumber="1" containsInteger="1" minValue="20001" maxValue="20838" count="33">
        <n v="20002"/>
        <n v="20003"/>
        <n v="20006"/>
        <n v="20010"/>
        <n v="20011"/>
        <n v="20018"/>
        <n v="20019"/>
        <n v="20021"/>
        <n v="20026"/>
        <n v="20028"/>
        <n v="20035"/>
        <n v="20039"/>
        <n v="20042"/>
        <n v="20044"/>
        <n v="20045"/>
        <n v="20046"/>
        <n v="20049"/>
        <n v="20051"/>
        <n v="20052"/>
        <n v="20053"/>
        <n v="20055"/>
        <n v="20008"/>
        <n v="20001"/>
        <n v="20017"/>
        <n v="20086"/>
        <n v="20180"/>
        <n v="20193"/>
        <n v="20320"/>
        <n v="20532"/>
        <n v="20612"/>
        <n v="20637"/>
        <n v="20807"/>
        <n v="20838"/>
      </sharedItems>
    </cacheField>
    <cacheField name="Cluster DTW" numFmtId="0">
      <sharedItems containsSemiMixedTypes="0" containsString="0" containsNumber="1" containsInteger="1" minValue="1" maxValue="7" count="6">
        <n v="7"/>
        <n v="2"/>
        <n v="4"/>
        <n v="1"/>
        <n v="3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0">
  <r>
    <x v="0"/>
    <x v="0"/>
  </r>
  <r>
    <x v="1"/>
    <x v="1"/>
  </r>
  <r>
    <x v="2"/>
    <x v="1"/>
  </r>
  <r>
    <x v="3"/>
    <x v="1"/>
  </r>
  <r>
    <x v="4"/>
    <x v="2"/>
  </r>
  <r>
    <x v="5"/>
    <x v="3"/>
  </r>
  <r>
    <x v="6"/>
    <x v="3"/>
  </r>
  <r>
    <x v="7"/>
    <x v="4"/>
  </r>
  <r>
    <x v="8"/>
    <x v="2"/>
  </r>
  <r>
    <x v="9"/>
    <x v="0"/>
  </r>
  <r>
    <x v="10"/>
    <x v="5"/>
  </r>
  <r>
    <x v="11"/>
    <x v="3"/>
  </r>
  <r>
    <x v="12"/>
    <x v="0"/>
  </r>
  <r>
    <x v="13"/>
    <x v="3"/>
  </r>
  <r>
    <x v="14"/>
    <x v="3"/>
  </r>
  <r>
    <x v="15"/>
    <x v="0"/>
  </r>
  <r>
    <x v="16"/>
    <x v="3"/>
  </r>
  <r>
    <x v="17"/>
    <x v="3"/>
  </r>
  <r>
    <x v="18"/>
    <x v="1"/>
  </r>
  <r>
    <x v="19"/>
    <x v="3"/>
  </r>
  <r>
    <x v="20"/>
    <x v="3"/>
  </r>
  <r>
    <x v="21"/>
    <x v="3"/>
  </r>
  <r>
    <x v="22"/>
    <x v="3"/>
  </r>
  <r>
    <x v="23"/>
    <x v="5"/>
  </r>
  <r>
    <x v="24"/>
    <x v="5"/>
  </r>
  <r>
    <x v="25"/>
    <x v="1"/>
  </r>
  <r>
    <x v="26"/>
    <x v="4"/>
  </r>
  <r>
    <x v="27"/>
    <x v="3"/>
  </r>
  <r>
    <x v="28"/>
    <x v="3"/>
  </r>
  <r>
    <x v="29"/>
    <x v="4"/>
  </r>
  <r>
    <x v="30"/>
    <x v="3"/>
  </r>
  <r>
    <x v="31"/>
    <x v="2"/>
  </r>
  <r>
    <x v="32"/>
    <x v="3"/>
  </r>
  <r>
    <x v="33"/>
    <x v="3"/>
  </r>
  <r>
    <x v="34"/>
    <x v="3"/>
  </r>
  <r>
    <x v="35"/>
    <x v="4"/>
  </r>
  <r>
    <x v="36"/>
    <x v="3"/>
  </r>
  <r>
    <x v="37"/>
    <x v="1"/>
  </r>
  <r>
    <x v="38"/>
    <x v="1"/>
  </r>
  <r>
    <x v="39"/>
    <x v="3"/>
  </r>
  <r>
    <x v="40"/>
    <x v="4"/>
  </r>
  <r>
    <x v="41"/>
    <x v="0"/>
  </r>
  <r>
    <x v="42"/>
    <x v="1"/>
  </r>
  <r>
    <x v="43"/>
    <x v="4"/>
  </r>
  <r>
    <x v="44"/>
    <x v="2"/>
  </r>
  <r>
    <x v="45"/>
    <x v="0"/>
  </r>
  <r>
    <x v="46"/>
    <x v="3"/>
  </r>
  <r>
    <x v="47"/>
    <x v="3"/>
  </r>
  <r>
    <x v="48"/>
    <x v="3"/>
  </r>
  <r>
    <x v="49"/>
    <x v="5"/>
  </r>
  <r>
    <x v="50"/>
    <x v="1"/>
  </r>
  <r>
    <x v="51"/>
    <x v="1"/>
  </r>
  <r>
    <x v="52"/>
    <x v="3"/>
  </r>
  <r>
    <x v="53"/>
    <x v="3"/>
  </r>
  <r>
    <x v="54"/>
    <x v="2"/>
  </r>
  <r>
    <x v="55"/>
    <x v="3"/>
  </r>
  <r>
    <x v="56"/>
    <x v="4"/>
  </r>
  <r>
    <x v="57"/>
    <x v="1"/>
  </r>
  <r>
    <x v="58"/>
    <x v="4"/>
  </r>
  <r>
    <x v="59"/>
    <x v="3"/>
  </r>
  <r>
    <x v="60"/>
    <x v="3"/>
  </r>
  <r>
    <x v="61"/>
    <x v="3"/>
  </r>
  <r>
    <x v="62"/>
    <x v="3"/>
  </r>
  <r>
    <x v="63"/>
    <x v="3"/>
  </r>
  <r>
    <x v="64"/>
    <x v="3"/>
  </r>
  <r>
    <x v="65"/>
    <x v="3"/>
  </r>
  <r>
    <x v="66"/>
    <x v="5"/>
  </r>
  <r>
    <x v="67"/>
    <x v="3"/>
  </r>
  <r>
    <x v="68"/>
    <x v="2"/>
  </r>
  <r>
    <x v="69"/>
    <x v="4"/>
  </r>
  <r>
    <x v="70"/>
    <x v="3"/>
  </r>
  <r>
    <x v="71"/>
    <x v="3"/>
  </r>
  <r>
    <x v="72"/>
    <x v="2"/>
  </r>
  <r>
    <x v="73"/>
    <x v="5"/>
  </r>
  <r>
    <x v="74"/>
    <x v="5"/>
  </r>
  <r>
    <x v="75"/>
    <x v="1"/>
  </r>
  <r>
    <x v="76"/>
    <x v="6"/>
  </r>
  <r>
    <x v="77"/>
    <x v="3"/>
  </r>
  <r>
    <x v="78"/>
    <x v="3"/>
  </r>
  <r>
    <x v="79"/>
    <x v="2"/>
  </r>
  <r>
    <x v="80"/>
    <x v="3"/>
  </r>
  <r>
    <x v="81"/>
    <x v="3"/>
  </r>
  <r>
    <x v="82"/>
    <x v="3"/>
  </r>
  <r>
    <x v="83"/>
    <x v="1"/>
  </r>
  <r>
    <x v="84"/>
    <x v="2"/>
  </r>
  <r>
    <x v="85"/>
    <x v="1"/>
  </r>
  <r>
    <x v="86"/>
    <x v="3"/>
  </r>
  <r>
    <x v="87"/>
    <x v="3"/>
  </r>
  <r>
    <x v="88"/>
    <x v="3"/>
  </r>
  <r>
    <x v="89"/>
    <x v="3"/>
  </r>
  <r>
    <x v="90"/>
    <x v="1"/>
  </r>
  <r>
    <x v="91"/>
    <x v="2"/>
  </r>
  <r>
    <x v="92"/>
    <x v="3"/>
  </r>
  <r>
    <x v="93"/>
    <x v="1"/>
  </r>
  <r>
    <x v="94"/>
    <x v="1"/>
  </r>
  <r>
    <x v="95"/>
    <x v="1"/>
  </r>
  <r>
    <x v="96"/>
    <x v="3"/>
  </r>
  <r>
    <x v="97"/>
    <x v="0"/>
  </r>
  <r>
    <x v="98"/>
    <x v="2"/>
  </r>
  <r>
    <x v="99"/>
    <x v="3"/>
  </r>
  <r>
    <x v="100"/>
    <x v="1"/>
  </r>
  <r>
    <x v="101"/>
    <x v="4"/>
  </r>
  <r>
    <x v="102"/>
    <x v="3"/>
  </r>
  <r>
    <x v="103"/>
    <x v="1"/>
  </r>
  <r>
    <x v="104"/>
    <x v="1"/>
  </r>
  <r>
    <x v="105"/>
    <x v="1"/>
  </r>
  <r>
    <x v="106"/>
    <x v="5"/>
  </r>
  <r>
    <x v="107"/>
    <x v="1"/>
  </r>
  <r>
    <x v="108"/>
    <x v="4"/>
  </r>
  <r>
    <x v="109"/>
    <x v="1"/>
  </r>
  <r>
    <x v="110"/>
    <x v="3"/>
  </r>
  <r>
    <x v="111"/>
    <x v="2"/>
  </r>
  <r>
    <x v="112"/>
    <x v="3"/>
  </r>
  <r>
    <x v="113"/>
    <x v="0"/>
  </r>
  <r>
    <x v="114"/>
    <x v="1"/>
  </r>
  <r>
    <x v="115"/>
    <x v="1"/>
  </r>
  <r>
    <x v="116"/>
    <x v="1"/>
  </r>
  <r>
    <x v="117"/>
    <x v="2"/>
  </r>
  <r>
    <x v="118"/>
    <x v="3"/>
  </r>
  <r>
    <x v="119"/>
    <x v="4"/>
  </r>
  <r>
    <x v="120"/>
    <x v="0"/>
  </r>
  <r>
    <x v="121"/>
    <x v="0"/>
  </r>
  <r>
    <x v="122"/>
    <x v="3"/>
  </r>
  <r>
    <x v="123"/>
    <x v="4"/>
  </r>
  <r>
    <x v="124"/>
    <x v="3"/>
  </r>
  <r>
    <x v="125"/>
    <x v="6"/>
  </r>
  <r>
    <x v="126"/>
    <x v="7"/>
  </r>
  <r>
    <x v="127"/>
    <x v="3"/>
  </r>
  <r>
    <x v="128"/>
    <x v="1"/>
  </r>
  <r>
    <x v="129"/>
    <x v="1"/>
  </r>
  <r>
    <x v="130"/>
    <x v="3"/>
  </r>
  <r>
    <x v="131"/>
    <x v="1"/>
  </r>
  <r>
    <x v="132"/>
    <x v="1"/>
  </r>
  <r>
    <x v="133"/>
    <x v="1"/>
  </r>
  <r>
    <x v="134"/>
    <x v="1"/>
  </r>
  <r>
    <x v="135"/>
    <x v="0"/>
  </r>
  <r>
    <x v="136"/>
    <x v="3"/>
  </r>
  <r>
    <x v="137"/>
    <x v="4"/>
  </r>
  <r>
    <x v="138"/>
    <x v="2"/>
  </r>
  <r>
    <x v="139"/>
    <x v="5"/>
  </r>
  <r>
    <x v="140"/>
    <x v="3"/>
  </r>
  <r>
    <x v="141"/>
    <x v="1"/>
  </r>
  <r>
    <x v="142"/>
    <x v="3"/>
  </r>
  <r>
    <x v="143"/>
    <x v="3"/>
  </r>
  <r>
    <x v="144"/>
    <x v="2"/>
  </r>
  <r>
    <x v="145"/>
    <x v="4"/>
  </r>
  <r>
    <x v="146"/>
    <x v="3"/>
  </r>
  <r>
    <x v="147"/>
    <x v="3"/>
  </r>
  <r>
    <x v="148"/>
    <x v="3"/>
  </r>
  <r>
    <x v="149"/>
    <x v="3"/>
  </r>
  <r>
    <x v="150"/>
    <x v="3"/>
  </r>
  <r>
    <x v="151"/>
    <x v="3"/>
  </r>
  <r>
    <x v="152"/>
    <x v="1"/>
  </r>
  <r>
    <x v="153"/>
    <x v="3"/>
  </r>
  <r>
    <x v="154"/>
    <x v="3"/>
  </r>
  <r>
    <x v="155"/>
    <x v="3"/>
  </r>
  <r>
    <x v="156"/>
    <x v="7"/>
  </r>
  <r>
    <x v="157"/>
    <x v="3"/>
  </r>
  <r>
    <x v="158"/>
    <x v="3"/>
  </r>
  <r>
    <x v="159"/>
    <x v="3"/>
  </r>
  <r>
    <x v="160"/>
    <x v="2"/>
  </r>
  <r>
    <x v="161"/>
    <x v="4"/>
  </r>
  <r>
    <x v="162"/>
    <x v="4"/>
  </r>
  <r>
    <x v="163"/>
    <x v="2"/>
  </r>
  <r>
    <x v="164"/>
    <x v="3"/>
  </r>
  <r>
    <x v="165"/>
    <x v="1"/>
  </r>
  <r>
    <x v="166"/>
    <x v="3"/>
  </r>
  <r>
    <x v="167"/>
    <x v="3"/>
  </r>
  <r>
    <x v="168"/>
    <x v="4"/>
  </r>
  <r>
    <x v="169"/>
    <x v="3"/>
  </r>
  <r>
    <x v="170"/>
    <x v="3"/>
  </r>
  <r>
    <x v="171"/>
    <x v="2"/>
  </r>
  <r>
    <x v="172"/>
    <x v="3"/>
  </r>
  <r>
    <x v="173"/>
    <x v="1"/>
  </r>
  <r>
    <x v="174"/>
    <x v="2"/>
  </r>
  <r>
    <x v="175"/>
    <x v="4"/>
  </r>
  <r>
    <x v="176"/>
    <x v="3"/>
  </r>
  <r>
    <x v="177"/>
    <x v="1"/>
  </r>
  <r>
    <x v="178"/>
    <x v="3"/>
  </r>
  <r>
    <x v="179"/>
    <x v="3"/>
  </r>
  <r>
    <x v="180"/>
    <x v="0"/>
  </r>
  <r>
    <x v="181"/>
    <x v="3"/>
  </r>
  <r>
    <x v="182"/>
    <x v="3"/>
  </r>
  <r>
    <x v="183"/>
    <x v="3"/>
  </r>
  <r>
    <x v="184"/>
    <x v="2"/>
  </r>
  <r>
    <x v="185"/>
    <x v="3"/>
  </r>
  <r>
    <x v="186"/>
    <x v="3"/>
  </r>
  <r>
    <x v="187"/>
    <x v="3"/>
  </r>
  <r>
    <x v="188"/>
    <x v="1"/>
  </r>
  <r>
    <x v="189"/>
    <x v="3"/>
  </r>
  <r>
    <x v="190"/>
    <x v="3"/>
  </r>
  <r>
    <x v="191"/>
    <x v="2"/>
  </r>
  <r>
    <x v="192"/>
    <x v="2"/>
  </r>
  <r>
    <x v="193"/>
    <x v="3"/>
  </r>
  <r>
    <x v="194"/>
    <x v="3"/>
  </r>
  <r>
    <x v="195"/>
    <x v="3"/>
  </r>
  <r>
    <x v="196"/>
    <x v="3"/>
  </r>
  <r>
    <x v="197"/>
    <x v="4"/>
  </r>
  <r>
    <x v="198"/>
    <x v="3"/>
  </r>
  <r>
    <x v="199"/>
    <x v="0"/>
  </r>
  <r>
    <x v="200"/>
    <x v="3"/>
  </r>
  <r>
    <x v="201"/>
    <x v="3"/>
  </r>
  <r>
    <x v="202"/>
    <x v="3"/>
  </r>
  <r>
    <x v="203"/>
    <x v="4"/>
  </r>
  <r>
    <x v="204"/>
    <x v="0"/>
  </r>
  <r>
    <x v="205"/>
    <x v="3"/>
  </r>
  <r>
    <x v="206"/>
    <x v="4"/>
  </r>
  <r>
    <x v="207"/>
    <x v="1"/>
  </r>
  <r>
    <x v="208"/>
    <x v="2"/>
  </r>
  <r>
    <x v="209"/>
    <x v="3"/>
  </r>
  <r>
    <x v="210"/>
    <x v="2"/>
  </r>
  <r>
    <x v="211"/>
    <x v="5"/>
  </r>
  <r>
    <x v="212"/>
    <x v="0"/>
  </r>
  <r>
    <x v="213"/>
    <x v="0"/>
  </r>
  <r>
    <x v="214"/>
    <x v="3"/>
  </r>
  <r>
    <x v="215"/>
    <x v="6"/>
  </r>
  <r>
    <x v="216"/>
    <x v="0"/>
  </r>
  <r>
    <x v="217"/>
    <x v="3"/>
  </r>
  <r>
    <x v="218"/>
    <x v="0"/>
  </r>
  <r>
    <x v="219"/>
    <x v="3"/>
  </r>
  <r>
    <x v="220"/>
    <x v="3"/>
  </r>
  <r>
    <x v="221"/>
    <x v="3"/>
  </r>
  <r>
    <x v="222"/>
    <x v="3"/>
  </r>
  <r>
    <x v="223"/>
    <x v="1"/>
  </r>
  <r>
    <x v="224"/>
    <x v="3"/>
  </r>
  <r>
    <x v="225"/>
    <x v="3"/>
  </r>
  <r>
    <x v="226"/>
    <x v="3"/>
  </r>
  <r>
    <x v="227"/>
    <x v="3"/>
  </r>
  <r>
    <x v="228"/>
    <x v="4"/>
  </r>
  <r>
    <x v="229"/>
    <x v="3"/>
  </r>
  <r>
    <x v="230"/>
    <x v="3"/>
  </r>
  <r>
    <x v="231"/>
    <x v="3"/>
  </r>
  <r>
    <x v="232"/>
    <x v="3"/>
  </r>
  <r>
    <x v="233"/>
    <x v="2"/>
  </r>
  <r>
    <x v="234"/>
    <x v="1"/>
  </r>
  <r>
    <x v="235"/>
    <x v="3"/>
  </r>
  <r>
    <x v="236"/>
    <x v="1"/>
  </r>
  <r>
    <x v="237"/>
    <x v="3"/>
  </r>
  <r>
    <x v="238"/>
    <x v="3"/>
  </r>
  <r>
    <x v="239"/>
    <x v="4"/>
  </r>
  <r>
    <x v="240"/>
    <x v="5"/>
  </r>
  <r>
    <x v="241"/>
    <x v="2"/>
  </r>
  <r>
    <x v="242"/>
    <x v="3"/>
  </r>
  <r>
    <x v="243"/>
    <x v="1"/>
  </r>
  <r>
    <x v="244"/>
    <x v="3"/>
  </r>
  <r>
    <x v="245"/>
    <x v="3"/>
  </r>
  <r>
    <x v="246"/>
    <x v="3"/>
  </r>
  <r>
    <x v="247"/>
    <x v="5"/>
  </r>
  <r>
    <x v="248"/>
    <x v="3"/>
  </r>
  <r>
    <x v="249"/>
    <x v="3"/>
  </r>
  <r>
    <x v="250"/>
    <x v="2"/>
  </r>
  <r>
    <x v="251"/>
    <x v="1"/>
  </r>
  <r>
    <x v="252"/>
    <x v="2"/>
  </r>
  <r>
    <x v="253"/>
    <x v="3"/>
  </r>
  <r>
    <x v="254"/>
    <x v="0"/>
  </r>
  <r>
    <x v="255"/>
    <x v="5"/>
  </r>
  <r>
    <x v="256"/>
    <x v="3"/>
  </r>
  <r>
    <x v="257"/>
    <x v="0"/>
  </r>
  <r>
    <x v="258"/>
    <x v="2"/>
  </r>
  <r>
    <x v="259"/>
    <x v="0"/>
  </r>
  <r>
    <x v="260"/>
    <x v="3"/>
  </r>
  <r>
    <x v="261"/>
    <x v="3"/>
  </r>
  <r>
    <x v="262"/>
    <x v="6"/>
  </r>
  <r>
    <x v="263"/>
    <x v="4"/>
  </r>
  <r>
    <x v="264"/>
    <x v="3"/>
  </r>
  <r>
    <x v="265"/>
    <x v="3"/>
  </r>
  <r>
    <x v="266"/>
    <x v="3"/>
  </r>
  <r>
    <x v="267"/>
    <x v="1"/>
  </r>
  <r>
    <x v="268"/>
    <x v="3"/>
  </r>
  <r>
    <x v="269"/>
    <x v="3"/>
  </r>
  <r>
    <x v="270"/>
    <x v="3"/>
  </r>
  <r>
    <x v="271"/>
    <x v="5"/>
  </r>
  <r>
    <x v="272"/>
    <x v="1"/>
  </r>
  <r>
    <x v="273"/>
    <x v="4"/>
  </r>
  <r>
    <x v="274"/>
    <x v="1"/>
  </r>
  <r>
    <x v="275"/>
    <x v="2"/>
  </r>
  <r>
    <x v="276"/>
    <x v="1"/>
  </r>
  <r>
    <x v="277"/>
    <x v="3"/>
  </r>
  <r>
    <x v="278"/>
    <x v="1"/>
  </r>
  <r>
    <x v="279"/>
    <x v="1"/>
  </r>
  <r>
    <x v="280"/>
    <x v="2"/>
  </r>
  <r>
    <x v="281"/>
    <x v="3"/>
  </r>
  <r>
    <x v="282"/>
    <x v="4"/>
  </r>
  <r>
    <x v="283"/>
    <x v="0"/>
  </r>
  <r>
    <x v="284"/>
    <x v="4"/>
  </r>
  <r>
    <x v="285"/>
    <x v="3"/>
  </r>
  <r>
    <x v="286"/>
    <x v="3"/>
  </r>
  <r>
    <x v="287"/>
    <x v="3"/>
  </r>
  <r>
    <x v="288"/>
    <x v="2"/>
  </r>
  <r>
    <x v="289"/>
    <x v="0"/>
  </r>
  <r>
    <x v="290"/>
    <x v="4"/>
  </r>
  <r>
    <x v="291"/>
    <x v="2"/>
  </r>
  <r>
    <x v="292"/>
    <x v="3"/>
  </r>
  <r>
    <x v="293"/>
    <x v="5"/>
  </r>
  <r>
    <x v="294"/>
    <x v="3"/>
  </r>
  <r>
    <x v="295"/>
    <x v="3"/>
  </r>
  <r>
    <x v="296"/>
    <x v="3"/>
  </r>
  <r>
    <x v="297"/>
    <x v="4"/>
  </r>
  <r>
    <x v="298"/>
    <x v="1"/>
  </r>
  <r>
    <x v="299"/>
    <x v="5"/>
  </r>
  <r>
    <x v="300"/>
    <x v="3"/>
  </r>
  <r>
    <x v="301"/>
    <x v="4"/>
  </r>
  <r>
    <x v="302"/>
    <x v="3"/>
  </r>
  <r>
    <x v="303"/>
    <x v="1"/>
  </r>
  <r>
    <x v="304"/>
    <x v="3"/>
  </r>
  <r>
    <x v="305"/>
    <x v="2"/>
  </r>
  <r>
    <x v="306"/>
    <x v="1"/>
  </r>
  <r>
    <x v="307"/>
    <x v="3"/>
  </r>
  <r>
    <x v="308"/>
    <x v="2"/>
  </r>
  <r>
    <x v="309"/>
    <x v="2"/>
  </r>
  <r>
    <x v="310"/>
    <x v="1"/>
  </r>
  <r>
    <x v="311"/>
    <x v="4"/>
  </r>
  <r>
    <x v="312"/>
    <x v="3"/>
  </r>
  <r>
    <x v="313"/>
    <x v="4"/>
  </r>
  <r>
    <x v="314"/>
    <x v="0"/>
  </r>
  <r>
    <x v="315"/>
    <x v="4"/>
  </r>
  <r>
    <x v="316"/>
    <x v="3"/>
  </r>
  <r>
    <x v="317"/>
    <x v="0"/>
  </r>
  <r>
    <x v="318"/>
    <x v="3"/>
  </r>
  <r>
    <x v="319"/>
    <x v="5"/>
  </r>
  <r>
    <x v="320"/>
    <x v="4"/>
  </r>
  <r>
    <x v="321"/>
    <x v="3"/>
  </r>
  <r>
    <x v="322"/>
    <x v="0"/>
  </r>
  <r>
    <x v="323"/>
    <x v="2"/>
  </r>
  <r>
    <x v="324"/>
    <x v="5"/>
  </r>
  <r>
    <x v="325"/>
    <x v="3"/>
  </r>
  <r>
    <x v="326"/>
    <x v="0"/>
  </r>
  <r>
    <x v="327"/>
    <x v="3"/>
  </r>
  <r>
    <x v="328"/>
    <x v="4"/>
  </r>
  <r>
    <x v="329"/>
    <x v="4"/>
  </r>
  <r>
    <x v="330"/>
    <x v="3"/>
  </r>
  <r>
    <x v="331"/>
    <x v="3"/>
  </r>
  <r>
    <x v="332"/>
    <x v="0"/>
  </r>
  <r>
    <x v="333"/>
    <x v="2"/>
  </r>
  <r>
    <x v="334"/>
    <x v="3"/>
  </r>
  <r>
    <x v="335"/>
    <x v="3"/>
  </r>
  <r>
    <x v="336"/>
    <x v="2"/>
  </r>
  <r>
    <x v="337"/>
    <x v="3"/>
  </r>
  <r>
    <x v="338"/>
    <x v="5"/>
  </r>
  <r>
    <x v="339"/>
    <x v="3"/>
  </r>
  <r>
    <x v="340"/>
    <x v="3"/>
  </r>
  <r>
    <x v="341"/>
    <x v="4"/>
  </r>
  <r>
    <x v="342"/>
    <x v="1"/>
  </r>
  <r>
    <x v="343"/>
    <x v="3"/>
  </r>
  <r>
    <x v="344"/>
    <x v="3"/>
  </r>
  <r>
    <x v="345"/>
    <x v="3"/>
  </r>
  <r>
    <x v="346"/>
    <x v="5"/>
  </r>
  <r>
    <x v="347"/>
    <x v="3"/>
  </r>
  <r>
    <x v="348"/>
    <x v="6"/>
  </r>
  <r>
    <x v="349"/>
    <x v="2"/>
  </r>
  <r>
    <x v="350"/>
    <x v="2"/>
  </r>
  <r>
    <x v="351"/>
    <x v="3"/>
  </r>
  <r>
    <x v="352"/>
    <x v="3"/>
  </r>
  <r>
    <x v="353"/>
    <x v="3"/>
  </r>
  <r>
    <x v="354"/>
    <x v="3"/>
  </r>
  <r>
    <x v="355"/>
    <x v="6"/>
  </r>
  <r>
    <x v="356"/>
    <x v="3"/>
  </r>
  <r>
    <x v="357"/>
    <x v="2"/>
  </r>
  <r>
    <x v="358"/>
    <x v="3"/>
  </r>
  <r>
    <x v="359"/>
    <x v="3"/>
  </r>
  <r>
    <x v="360"/>
    <x v="1"/>
  </r>
  <r>
    <x v="361"/>
    <x v="3"/>
  </r>
  <r>
    <x v="362"/>
    <x v="4"/>
  </r>
  <r>
    <x v="363"/>
    <x v="2"/>
  </r>
  <r>
    <x v="364"/>
    <x v="1"/>
  </r>
  <r>
    <x v="365"/>
    <x v="0"/>
  </r>
  <r>
    <x v="366"/>
    <x v="1"/>
  </r>
  <r>
    <x v="367"/>
    <x v="2"/>
  </r>
  <r>
    <x v="368"/>
    <x v="2"/>
  </r>
  <r>
    <x v="369"/>
    <x v="4"/>
  </r>
  <r>
    <x v="370"/>
    <x v="3"/>
  </r>
  <r>
    <x v="371"/>
    <x v="3"/>
  </r>
  <r>
    <x v="372"/>
    <x v="1"/>
  </r>
  <r>
    <x v="373"/>
    <x v="4"/>
  </r>
  <r>
    <x v="374"/>
    <x v="1"/>
  </r>
  <r>
    <x v="375"/>
    <x v="0"/>
  </r>
  <r>
    <x v="376"/>
    <x v="3"/>
  </r>
  <r>
    <x v="377"/>
    <x v="3"/>
  </r>
  <r>
    <x v="378"/>
    <x v="3"/>
  </r>
  <r>
    <x v="379"/>
    <x v="2"/>
  </r>
  <r>
    <x v="380"/>
    <x v="3"/>
  </r>
  <r>
    <x v="381"/>
    <x v="0"/>
  </r>
  <r>
    <x v="382"/>
    <x v="4"/>
  </r>
  <r>
    <x v="383"/>
    <x v="1"/>
  </r>
  <r>
    <x v="384"/>
    <x v="0"/>
  </r>
  <r>
    <x v="385"/>
    <x v="4"/>
  </r>
  <r>
    <x v="386"/>
    <x v="3"/>
  </r>
  <r>
    <x v="387"/>
    <x v="3"/>
  </r>
  <r>
    <x v="388"/>
    <x v="3"/>
  </r>
  <r>
    <x v="389"/>
    <x v="2"/>
  </r>
  <r>
    <x v="390"/>
    <x v="5"/>
  </r>
  <r>
    <x v="391"/>
    <x v="2"/>
  </r>
  <r>
    <x v="392"/>
    <x v="1"/>
  </r>
  <r>
    <x v="393"/>
    <x v="5"/>
  </r>
  <r>
    <x v="394"/>
    <x v="2"/>
  </r>
  <r>
    <x v="395"/>
    <x v="1"/>
  </r>
  <r>
    <x v="396"/>
    <x v="3"/>
  </r>
  <r>
    <x v="397"/>
    <x v="3"/>
  </r>
  <r>
    <x v="398"/>
    <x v="2"/>
  </r>
  <r>
    <x v="399"/>
    <x v="2"/>
  </r>
  <r>
    <x v="400"/>
    <x v="3"/>
  </r>
  <r>
    <x v="401"/>
    <x v="1"/>
  </r>
  <r>
    <x v="402"/>
    <x v="2"/>
  </r>
  <r>
    <x v="403"/>
    <x v="5"/>
  </r>
  <r>
    <x v="404"/>
    <x v="3"/>
  </r>
  <r>
    <x v="405"/>
    <x v="2"/>
  </r>
  <r>
    <x v="406"/>
    <x v="1"/>
  </r>
  <r>
    <x v="407"/>
    <x v="0"/>
  </r>
  <r>
    <x v="408"/>
    <x v="3"/>
  </r>
  <r>
    <x v="409"/>
    <x v="3"/>
  </r>
  <r>
    <x v="410"/>
    <x v="3"/>
  </r>
  <r>
    <x v="411"/>
    <x v="1"/>
  </r>
  <r>
    <x v="412"/>
    <x v="1"/>
  </r>
  <r>
    <x v="413"/>
    <x v="2"/>
  </r>
  <r>
    <x v="414"/>
    <x v="3"/>
  </r>
  <r>
    <x v="415"/>
    <x v="3"/>
  </r>
  <r>
    <x v="416"/>
    <x v="0"/>
  </r>
  <r>
    <x v="417"/>
    <x v="4"/>
  </r>
  <r>
    <x v="418"/>
    <x v="3"/>
  </r>
  <r>
    <x v="419"/>
    <x v="3"/>
  </r>
  <r>
    <x v="420"/>
    <x v="3"/>
  </r>
  <r>
    <x v="421"/>
    <x v="0"/>
  </r>
  <r>
    <x v="422"/>
    <x v="3"/>
  </r>
  <r>
    <x v="423"/>
    <x v="1"/>
  </r>
  <r>
    <x v="424"/>
    <x v="3"/>
  </r>
  <r>
    <x v="425"/>
    <x v="1"/>
  </r>
  <r>
    <x v="426"/>
    <x v="2"/>
  </r>
  <r>
    <x v="427"/>
    <x v="3"/>
  </r>
  <r>
    <x v="428"/>
    <x v="0"/>
  </r>
  <r>
    <x v="429"/>
    <x v="3"/>
  </r>
  <r>
    <x v="430"/>
    <x v="4"/>
  </r>
  <r>
    <x v="431"/>
    <x v="3"/>
  </r>
  <r>
    <x v="432"/>
    <x v="2"/>
  </r>
  <r>
    <x v="433"/>
    <x v="5"/>
  </r>
  <r>
    <x v="434"/>
    <x v="2"/>
  </r>
  <r>
    <x v="435"/>
    <x v="1"/>
  </r>
  <r>
    <x v="436"/>
    <x v="3"/>
  </r>
  <r>
    <x v="437"/>
    <x v="2"/>
  </r>
  <r>
    <x v="438"/>
    <x v="3"/>
  </r>
  <r>
    <x v="439"/>
    <x v="1"/>
  </r>
  <r>
    <x v="440"/>
    <x v="3"/>
  </r>
  <r>
    <x v="441"/>
    <x v="3"/>
  </r>
  <r>
    <x v="442"/>
    <x v="3"/>
  </r>
  <r>
    <x v="443"/>
    <x v="2"/>
  </r>
  <r>
    <x v="444"/>
    <x v="2"/>
  </r>
  <r>
    <x v="445"/>
    <x v="0"/>
  </r>
  <r>
    <x v="446"/>
    <x v="3"/>
  </r>
  <r>
    <x v="447"/>
    <x v="0"/>
  </r>
  <r>
    <x v="448"/>
    <x v="4"/>
  </r>
  <r>
    <x v="449"/>
    <x v="3"/>
  </r>
  <r>
    <x v="450"/>
    <x v="4"/>
  </r>
  <r>
    <x v="451"/>
    <x v="2"/>
  </r>
  <r>
    <x v="452"/>
    <x v="6"/>
  </r>
  <r>
    <x v="453"/>
    <x v="6"/>
  </r>
  <r>
    <x v="454"/>
    <x v="3"/>
  </r>
  <r>
    <x v="455"/>
    <x v="3"/>
  </r>
  <r>
    <x v="456"/>
    <x v="1"/>
  </r>
  <r>
    <x v="457"/>
    <x v="1"/>
  </r>
  <r>
    <x v="458"/>
    <x v="3"/>
  </r>
  <r>
    <x v="459"/>
    <x v="2"/>
  </r>
  <r>
    <x v="460"/>
    <x v="3"/>
  </r>
  <r>
    <x v="461"/>
    <x v="3"/>
  </r>
  <r>
    <x v="462"/>
    <x v="2"/>
  </r>
  <r>
    <x v="463"/>
    <x v="5"/>
  </r>
  <r>
    <x v="464"/>
    <x v="2"/>
  </r>
  <r>
    <x v="465"/>
    <x v="0"/>
  </r>
  <r>
    <x v="466"/>
    <x v="0"/>
  </r>
  <r>
    <x v="467"/>
    <x v="7"/>
  </r>
  <r>
    <x v="468"/>
    <x v="4"/>
  </r>
  <r>
    <x v="469"/>
    <x v="3"/>
  </r>
  <r>
    <x v="470"/>
    <x v="2"/>
  </r>
  <r>
    <x v="471"/>
    <x v="3"/>
  </r>
  <r>
    <x v="472"/>
    <x v="0"/>
  </r>
  <r>
    <x v="473"/>
    <x v="5"/>
  </r>
  <r>
    <x v="474"/>
    <x v="5"/>
  </r>
  <r>
    <x v="475"/>
    <x v="4"/>
  </r>
  <r>
    <x v="476"/>
    <x v="3"/>
  </r>
  <r>
    <x v="477"/>
    <x v="1"/>
  </r>
  <r>
    <x v="478"/>
    <x v="3"/>
  </r>
  <r>
    <x v="479"/>
    <x v="2"/>
  </r>
  <r>
    <x v="480"/>
    <x v="3"/>
  </r>
  <r>
    <x v="481"/>
    <x v="3"/>
  </r>
  <r>
    <x v="482"/>
    <x v="3"/>
  </r>
  <r>
    <x v="483"/>
    <x v="3"/>
  </r>
  <r>
    <x v="484"/>
    <x v="3"/>
  </r>
  <r>
    <x v="485"/>
    <x v="0"/>
  </r>
  <r>
    <x v="486"/>
    <x v="4"/>
  </r>
  <r>
    <x v="487"/>
    <x v="0"/>
  </r>
  <r>
    <x v="488"/>
    <x v="2"/>
  </r>
  <r>
    <x v="489"/>
    <x v="2"/>
  </r>
  <r>
    <x v="490"/>
    <x v="3"/>
  </r>
  <r>
    <x v="491"/>
    <x v="0"/>
  </r>
  <r>
    <x v="492"/>
    <x v="2"/>
  </r>
  <r>
    <x v="493"/>
    <x v="3"/>
  </r>
  <r>
    <x v="494"/>
    <x v="4"/>
  </r>
  <r>
    <x v="495"/>
    <x v="1"/>
  </r>
  <r>
    <x v="496"/>
    <x v="3"/>
  </r>
  <r>
    <x v="497"/>
    <x v="3"/>
  </r>
  <r>
    <x v="498"/>
    <x v="0"/>
  </r>
  <r>
    <x v="499"/>
    <x v="2"/>
  </r>
  <r>
    <x v="500"/>
    <x v="2"/>
  </r>
  <r>
    <x v="501"/>
    <x v="1"/>
  </r>
  <r>
    <x v="502"/>
    <x v="4"/>
  </r>
  <r>
    <x v="503"/>
    <x v="3"/>
  </r>
  <r>
    <x v="504"/>
    <x v="5"/>
  </r>
  <r>
    <x v="505"/>
    <x v="1"/>
  </r>
  <r>
    <x v="506"/>
    <x v="2"/>
  </r>
  <r>
    <x v="507"/>
    <x v="3"/>
  </r>
  <r>
    <x v="508"/>
    <x v="3"/>
  </r>
  <r>
    <x v="509"/>
    <x v="3"/>
  </r>
  <r>
    <x v="510"/>
    <x v="2"/>
  </r>
  <r>
    <x v="511"/>
    <x v="3"/>
  </r>
  <r>
    <x v="512"/>
    <x v="3"/>
  </r>
  <r>
    <x v="513"/>
    <x v="3"/>
  </r>
  <r>
    <x v="514"/>
    <x v="2"/>
  </r>
  <r>
    <x v="515"/>
    <x v="6"/>
  </r>
  <r>
    <x v="516"/>
    <x v="3"/>
  </r>
  <r>
    <x v="517"/>
    <x v="1"/>
  </r>
  <r>
    <x v="518"/>
    <x v="3"/>
  </r>
  <r>
    <x v="519"/>
    <x v="0"/>
  </r>
  <r>
    <x v="520"/>
    <x v="3"/>
  </r>
  <r>
    <x v="521"/>
    <x v="2"/>
  </r>
  <r>
    <x v="522"/>
    <x v="3"/>
  </r>
  <r>
    <x v="523"/>
    <x v="0"/>
  </r>
  <r>
    <x v="524"/>
    <x v="6"/>
  </r>
  <r>
    <x v="525"/>
    <x v="2"/>
  </r>
  <r>
    <x v="526"/>
    <x v="2"/>
  </r>
  <r>
    <x v="527"/>
    <x v="0"/>
  </r>
  <r>
    <x v="528"/>
    <x v="0"/>
  </r>
  <r>
    <x v="529"/>
    <x v="3"/>
  </r>
  <r>
    <x v="530"/>
    <x v="2"/>
  </r>
  <r>
    <x v="531"/>
    <x v="2"/>
  </r>
  <r>
    <x v="532"/>
    <x v="3"/>
  </r>
  <r>
    <x v="533"/>
    <x v="1"/>
  </r>
  <r>
    <x v="534"/>
    <x v="3"/>
  </r>
  <r>
    <x v="535"/>
    <x v="3"/>
  </r>
  <r>
    <x v="536"/>
    <x v="2"/>
  </r>
  <r>
    <x v="537"/>
    <x v="1"/>
  </r>
  <r>
    <x v="538"/>
    <x v="3"/>
  </r>
  <r>
    <x v="539"/>
    <x v="1"/>
  </r>
  <r>
    <x v="540"/>
    <x v="0"/>
  </r>
  <r>
    <x v="541"/>
    <x v="4"/>
  </r>
  <r>
    <x v="542"/>
    <x v="1"/>
  </r>
  <r>
    <x v="543"/>
    <x v="4"/>
  </r>
  <r>
    <x v="544"/>
    <x v="6"/>
  </r>
  <r>
    <x v="545"/>
    <x v="3"/>
  </r>
  <r>
    <x v="546"/>
    <x v="2"/>
  </r>
  <r>
    <x v="547"/>
    <x v="0"/>
  </r>
  <r>
    <x v="548"/>
    <x v="4"/>
  </r>
  <r>
    <x v="549"/>
    <x v="1"/>
  </r>
  <r>
    <x v="550"/>
    <x v="2"/>
  </r>
  <r>
    <x v="551"/>
    <x v="6"/>
  </r>
  <r>
    <x v="552"/>
    <x v="3"/>
  </r>
  <r>
    <x v="553"/>
    <x v="6"/>
  </r>
  <r>
    <x v="554"/>
    <x v="3"/>
  </r>
  <r>
    <x v="555"/>
    <x v="0"/>
  </r>
  <r>
    <x v="556"/>
    <x v="2"/>
  </r>
  <r>
    <x v="557"/>
    <x v="3"/>
  </r>
  <r>
    <x v="558"/>
    <x v="3"/>
  </r>
  <r>
    <x v="559"/>
    <x v="4"/>
  </r>
  <r>
    <x v="560"/>
    <x v="2"/>
  </r>
  <r>
    <x v="561"/>
    <x v="3"/>
  </r>
  <r>
    <x v="562"/>
    <x v="2"/>
  </r>
  <r>
    <x v="563"/>
    <x v="1"/>
  </r>
  <r>
    <x v="564"/>
    <x v="1"/>
  </r>
  <r>
    <x v="565"/>
    <x v="3"/>
  </r>
  <r>
    <x v="566"/>
    <x v="2"/>
  </r>
  <r>
    <x v="567"/>
    <x v="2"/>
  </r>
  <r>
    <x v="568"/>
    <x v="2"/>
  </r>
  <r>
    <x v="569"/>
    <x v="0"/>
  </r>
  <r>
    <x v="570"/>
    <x v="3"/>
  </r>
  <r>
    <x v="571"/>
    <x v="5"/>
  </r>
  <r>
    <x v="572"/>
    <x v="2"/>
  </r>
  <r>
    <x v="573"/>
    <x v="3"/>
  </r>
  <r>
    <x v="574"/>
    <x v="1"/>
  </r>
  <r>
    <x v="575"/>
    <x v="3"/>
  </r>
  <r>
    <x v="576"/>
    <x v="0"/>
  </r>
  <r>
    <x v="577"/>
    <x v="1"/>
  </r>
  <r>
    <x v="578"/>
    <x v="6"/>
  </r>
  <r>
    <x v="579"/>
    <x v="3"/>
  </r>
  <r>
    <x v="580"/>
    <x v="3"/>
  </r>
  <r>
    <x v="581"/>
    <x v="3"/>
  </r>
  <r>
    <x v="582"/>
    <x v="2"/>
  </r>
  <r>
    <x v="583"/>
    <x v="3"/>
  </r>
  <r>
    <x v="584"/>
    <x v="4"/>
  </r>
  <r>
    <x v="585"/>
    <x v="3"/>
  </r>
  <r>
    <x v="586"/>
    <x v="2"/>
  </r>
  <r>
    <x v="587"/>
    <x v="0"/>
  </r>
  <r>
    <x v="588"/>
    <x v="3"/>
  </r>
  <r>
    <x v="589"/>
    <x v="6"/>
  </r>
  <r>
    <x v="590"/>
    <x v="2"/>
  </r>
  <r>
    <x v="591"/>
    <x v="0"/>
  </r>
  <r>
    <x v="592"/>
    <x v="0"/>
  </r>
  <r>
    <x v="593"/>
    <x v="5"/>
  </r>
  <r>
    <x v="594"/>
    <x v="3"/>
  </r>
  <r>
    <x v="595"/>
    <x v="3"/>
  </r>
  <r>
    <x v="596"/>
    <x v="0"/>
  </r>
  <r>
    <x v="597"/>
    <x v="4"/>
  </r>
  <r>
    <x v="598"/>
    <x v="3"/>
  </r>
  <r>
    <x v="599"/>
    <x v="3"/>
  </r>
  <r>
    <x v="600"/>
    <x v="3"/>
  </r>
  <r>
    <x v="601"/>
    <x v="3"/>
  </r>
  <r>
    <x v="602"/>
    <x v="0"/>
  </r>
  <r>
    <x v="603"/>
    <x v="3"/>
  </r>
  <r>
    <x v="604"/>
    <x v="2"/>
  </r>
  <r>
    <x v="605"/>
    <x v="3"/>
  </r>
  <r>
    <x v="606"/>
    <x v="2"/>
  </r>
  <r>
    <x v="607"/>
    <x v="1"/>
  </r>
  <r>
    <x v="608"/>
    <x v="3"/>
  </r>
  <r>
    <x v="609"/>
    <x v="5"/>
  </r>
  <r>
    <x v="610"/>
    <x v="1"/>
  </r>
  <r>
    <x v="611"/>
    <x v="1"/>
  </r>
  <r>
    <x v="612"/>
    <x v="3"/>
  </r>
  <r>
    <x v="613"/>
    <x v="3"/>
  </r>
  <r>
    <x v="614"/>
    <x v="2"/>
  </r>
  <r>
    <x v="615"/>
    <x v="1"/>
  </r>
  <r>
    <x v="616"/>
    <x v="3"/>
  </r>
  <r>
    <x v="617"/>
    <x v="0"/>
  </r>
  <r>
    <x v="618"/>
    <x v="3"/>
  </r>
  <r>
    <x v="619"/>
    <x v="3"/>
  </r>
  <r>
    <x v="620"/>
    <x v="2"/>
  </r>
  <r>
    <x v="621"/>
    <x v="2"/>
  </r>
  <r>
    <x v="622"/>
    <x v="2"/>
  </r>
  <r>
    <x v="623"/>
    <x v="4"/>
  </r>
  <r>
    <x v="624"/>
    <x v="2"/>
  </r>
  <r>
    <x v="625"/>
    <x v="3"/>
  </r>
  <r>
    <x v="626"/>
    <x v="2"/>
  </r>
  <r>
    <x v="627"/>
    <x v="3"/>
  </r>
  <r>
    <x v="628"/>
    <x v="2"/>
  </r>
  <r>
    <x v="629"/>
    <x v="2"/>
  </r>
  <r>
    <x v="630"/>
    <x v="1"/>
  </r>
  <r>
    <x v="631"/>
    <x v="3"/>
  </r>
  <r>
    <x v="632"/>
    <x v="1"/>
  </r>
  <r>
    <x v="633"/>
    <x v="2"/>
  </r>
  <r>
    <x v="634"/>
    <x v="2"/>
  </r>
  <r>
    <x v="635"/>
    <x v="3"/>
  </r>
  <r>
    <x v="636"/>
    <x v="2"/>
  </r>
  <r>
    <x v="637"/>
    <x v="3"/>
  </r>
  <r>
    <x v="638"/>
    <x v="2"/>
  </r>
  <r>
    <x v="639"/>
    <x v="3"/>
  </r>
  <r>
    <x v="640"/>
    <x v="3"/>
  </r>
  <r>
    <x v="641"/>
    <x v="2"/>
  </r>
  <r>
    <x v="642"/>
    <x v="2"/>
  </r>
  <r>
    <x v="643"/>
    <x v="4"/>
  </r>
  <r>
    <x v="644"/>
    <x v="5"/>
  </r>
  <r>
    <x v="645"/>
    <x v="1"/>
  </r>
  <r>
    <x v="646"/>
    <x v="2"/>
  </r>
  <r>
    <x v="647"/>
    <x v="1"/>
  </r>
  <r>
    <x v="648"/>
    <x v="2"/>
  </r>
  <r>
    <x v="649"/>
    <x v="3"/>
  </r>
  <r>
    <x v="650"/>
    <x v="3"/>
  </r>
  <r>
    <x v="651"/>
    <x v="3"/>
  </r>
  <r>
    <x v="652"/>
    <x v="1"/>
  </r>
  <r>
    <x v="653"/>
    <x v="3"/>
  </r>
  <r>
    <x v="654"/>
    <x v="5"/>
  </r>
  <r>
    <x v="655"/>
    <x v="1"/>
  </r>
  <r>
    <x v="656"/>
    <x v="1"/>
  </r>
  <r>
    <x v="657"/>
    <x v="2"/>
  </r>
  <r>
    <x v="658"/>
    <x v="4"/>
  </r>
  <r>
    <x v="659"/>
    <x v="2"/>
  </r>
  <r>
    <x v="660"/>
    <x v="3"/>
  </r>
  <r>
    <x v="661"/>
    <x v="2"/>
  </r>
  <r>
    <x v="662"/>
    <x v="3"/>
  </r>
  <r>
    <x v="663"/>
    <x v="2"/>
  </r>
  <r>
    <x v="664"/>
    <x v="1"/>
  </r>
  <r>
    <x v="665"/>
    <x v="3"/>
  </r>
  <r>
    <x v="666"/>
    <x v="5"/>
  </r>
  <r>
    <x v="667"/>
    <x v="3"/>
  </r>
  <r>
    <x v="668"/>
    <x v="3"/>
  </r>
  <r>
    <x v="669"/>
    <x v="3"/>
  </r>
  <r>
    <x v="670"/>
    <x v="3"/>
  </r>
  <r>
    <x v="671"/>
    <x v="3"/>
  </r>
  <r>
    <x v="672"/>
    <x v="2"/>
  </r>
  <r>
    <x v="673"/>
    <x v="3"/>
  </r>
  <r>
    <x v="674"/>
    <x v="4"/>
  </r>
  <r>
    <x v="675"/>
    <x v="3"/>
  </r>
  <r>
    <x v="676"/>
    <x v="3"/>
  </r>
  <r>
    <x v="677"/>
    <x v="2"/>
  </r>
  <r>
    <x v="678"/>
    <x v="2"/>
  </r>
  <r>
    <x v="679"/>
    <x v="6"/>
  </r>
  <r>
    <x v="680"/>
    <x v="0"/>
  </r>
  <r>
    <x v="681"/>
    <x v="3"/>
  </r>
  <r>
    <x v="682"/>
    <x v="3"/>
  </r>
  <r>
    <x v="683"/>
    <x v="3"/>
  </r>
  <r>
    <x v="684"/>
    <x v="5"/>
  </r>
  <r>
    <x v="685"/>
    <x v="2"/>
  </r>
  <r>
    <x v="686"/>
    <x v="3"/>
  </r>
  <r>
    <x v="687"/>
    <x v="2"/>
  </r>
  <r>
    <x v="688"/>
    <x v="3"/>
  </r>
  <r>
    <x v="689"/>
    <x v="2"/>
  </r>
  <r>
    <x v="690"/>
    <x v="1"/>
  </r>
  <r>
    <x v="691"/>
    <x v="3"/>
  </r>
  <r>
    <x v="692"/>
    <x v="2"/>
  </r>
  <r>
    <x v="693"/>
    <x v="1"/>
  </r>
  <r>
    <x v="694"/>
    <x v="2"/>
  </r>
  <r>
    <x v="695"/>
    <x v="2"/>
  </r>
  <r>
    <x v="696"/>
    <x v="4"/>
  </r>
  <r>
    <x v="697"/>
    <x v="3"/>
  </r>
  <r>
    <x v="698"/>
    <x v="3"/>
  </r>
  <r>
    <x v="699"/>
    <x v="0"/>
  </r>
  <r>
    <x v="700"/>
    <x v="2"/>
  </r>
  <r>
    <x v="701"/>
    <x v="2"/>
  </r>
  <r>
    <x v="702"/>
    <x v="3"/>
  </r>
  <r>
    <x v="703"/>
    <x v="0"/>
  </r>
  <r>
    <x v="704"/>
    <x v="2"/>
  </r>
  <r>
    <x v="705"/>
    <x v="3"/>
  </r>
  <r>
    <x v="706"/>
    <x v="5"/>
  </r>
  <r>
    <x v="707"/>
    <x v="2"/>
  </r>
  <r>
    <x v="708"/>
    <x v="2"/>
  </r>
  <r>
    <x v="709"/>
    <x v="2"/>
  </r>
  <r>
    <x v="710"/>
    <x v="2"/>
  </r>
  <r>
    <x v="711"/>
    <x v="2"/>
  </r>
  <r>
    <x v="712"/>
    <x v="3"/>
  </r>
  <r>
    <x v="713"/>
    <x v="5"/>
  </r>
  <r>
    <x v="714"/>
    <x v="3"/>
  </r>
  <r>
    <x v="715"/>
    <x v="2"/>
  </r>
  <r>
    <x v="716"/>
    <x v="3"/>
  </r>
  <r>
    <x v="717"/>
    <x v="4"/>
  </r>
  <r>
    <x v="718"/>
    <x v="2"/>
  </r>
  <r>
    <x v="719"/>
    <x v="2"/>
  </r>
  <r>
    <x v="720"/>
    <x v="2"/>
  </r>
  <r>
    <x v="721"/>
    <x v="2"/>
  </r>
  <r>
    <x v="722"/>
    <x v="2"/>
  </r>
  <r>
    <x v="723"/>
    <x v="3"/>
  </r>
  <r>
    <x v="724"/>
    <x v="2"/>
  </r>
  <r>
    <x v="725"/>
    <x v="2"/>
  </r>
  <r>
    <x v="726"/>
    <x v="2"/>
  </r>
  <r>
    <x v="727"/>
    <x v="3"/>
  </r>
  <r>
    <x v="728"/>
    <x v="2"/>
  </r>
  <r>
    <x v="729"/>
    <x v="2"/>
  </r>
  <r>
    <x v="730"/>
    <x v="3"/>
  </r>
  <r>
    <x v="731"/>
    <x v="2"/>
  </r>
  <r>
    <x v="732"/>
    <x v="2"/>
  </r>
  <r>
    <x v="733"/>
    <x v="2"/>
  </r>
  <r>
    <x v="734"/>
    <x v="2"/>
  </r>
  <r>
    <x v="735"/>
    <x v="3"/>
  </r>
  <r>
    <x v="736"/>
    <x v="3"/>
  </r>
  <r>
    <x v="737"/>
    <x v="2"/>
  </r>
  <r>
    <x v="738"/>
    <x v="2"/>
  </r>
  <r>
    <x v="739"/>
    <x v="4"/>
  </r>
  <r>
    <x v="740"/>
    <x v="4"/>
  </r>
  <r>
    <x v="741"/>
    <x v="2"/>
  </r>
  <r>
    <x v="742"/>
    <x v="2"/>
  </r>
  <r>
    <x v="743"/>
    <x v="2"/>
  </r>
  <r>
    <x v="744"/>
    <x v="6"/>
  </r>
  <r>
    <x v="745"/>
    <x v="3"/>
  </r>
  <r>
    <x v="746"/>
    <x v="3"/>
  </r>
  <r>
    <x v="747"/>
    <x v="3"/>
  </r>
  <r>
    <x v="748"/>
    <x v="0"/>
  </r>
  <r>
    <x v="749"/>
    <x v="3"/>
  </r>
  <r>
    <x v="750"/>
    <x v="3"/>
  </r>
  <r>
    <x v="751"/>
    <x v="3"/>
  </r>
  <r>
    <x v="752"/>
    <x v="3"/>
  </r>
  <r>
    <x v="753"/>
    <x v="2"/>
  </r>
  <r>
    <x v="754"/>
    <x v="3"/>
  </r>
  <r>
    <x v="755"/>
    <x v="3"/>
  </r>
  <r>
    <x v="756"/>
    <x v="4"/>
  </r>
  <r>
    <x v="757"/>
    <x v="1"/>
  </r>
  <r>
    <x v="758"/>
    <x v="3"/>
  </r>
  <r>
    <x v="759"/>
    <x v="3"/>
  </r>
  <r>
    <x v="760"/>
    <x v="2"/>
  </r>
  <r>
    <x v="761"/>
    <x v="3"/>
  </r>
  <r>
    <x v="762"/>
    <x v="3"/>
  </r>
  <r>
    <x v="763"/>
    <x v="3"/>
  </r>
  <r>
    <x v="764"/>
    <x v="4"/>
  </r>
  <r>
    <x v="765"/>
    <x v="5"/>
  </r>
  <r>
    <x v="766"/>
    <x v="3"/>
  </r>
  <r>
    <x v="767"/>
    <x v="4"/>
  </r>
  <r>
    <x v="768"/>
    <x v="3"/>
  </r>
  <r>
    <x v="769"/>
    <x v="4"/>
  </r>
  <r>
    <x v="770"/>
    <x v="3"/>
  </r>
  <r>
    <x v="771"/>
    <x v="3"/>
  </r>
  <r>
    <x v="772"/>
    <x v="4"/>
  </r>
  <r>
    <x v="773"/>
    <x v="4"/>
  </r>
  <r>
    <x v="774"/>
    <x v="3"/>
  </r>
  <r>
    <x v="775"/>
    <x v="4"/>
  </r>
  <r>
    <x v="776"/>
    <x v="3"/>
  </r>
  <r>
    <x v="777"/>
    <x v="3"/>
  </r>
  <r>
    <x v="778"/>
    <x v="3"/>
  </r>
  <r>
    <x v="779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</r>
  <r>
    <x v="1"/>
    <x v="0"/>
  </r>
  <r>
    <x v="2"/>
    <x v="1"/>
  </r>
  <r>
    <x v="3"/>
    <x v="2"/>
  </r>
  <r>
    <x v="4"/>
    <x v="3"/>
  </r>
  <r>
    <x v="5"/>
    <x v="1"/>
  </r>
  <r>
    <x v="6"/>
    <x v="0"/>
  </r>
  <r>
    <x v="7"/>
    <x v="1"/>
  </r>
  <r>
    <x v="8"/>
    <x v="0"/>
  </r>
  <r>
    <x v="9"/>
    <x v="1"/>
  </r>
  <r>
    <x v="10"/>
    <x v="1"/>
  </r>
  <r>
    <x v="11"/>
    <x v="1"/>
  </r>
  <r>
    <x v="12"/>
    <x v="0"/>
  </r>
  <r>
    <x v="13"/>
    <x v="4"/>
  </r>
  <r>
    <x v="14"/>
    <x v="2"/>
  </r>
  <r>
    <x v="15"/>
    <x v="0"/>
  </r>
  <r>
    <x v="16"/>
    <x v="5"/>
  </r>
  <r>
    <x v="17"/>
    <x v="1"/>
  </r>
  <r>
    <x v="18"/>
    <x v="1"/>
  </r>
  <r>
    <x v="19"/>
    <x v="1"/>
  </r>
  <r>
    <x v="20"/>
    <x v="0"/>
  </r>
  <r>
    <x v="21"/>
    <x v="4"/>
  </r>
  <r>
    <x v="22"/>
    <x v="2"/>
  </r>
  <r>
    <x v="23"/>
    <x v="1"/>
  </r>
  <r>
    <x v="24"/>
    <x v="1"/>
  </r>
  <r>
    <x v="25"/>
    <x v="1"/>
  </r>
  <r>
    <x v="26"/>
    <x v="1"/>
  </r>
  <r>
    <x v="27"/>
    <x v="1"/>
  </r>
  <r>
    <x v="28"/>
    <x v="3"/>
  </r>
  <r>
    <x v="29"/>
    <x v="0"/>
  </r>
  <r>
    <x v="30"/>
    <x v="2"/>
  </r>
  <r>
    <x v="31"/>
    <x v="0"/>
  </r>
  <r>
    <x v="3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C72B1-B281-4B14-96F3-CEF92EAC1D3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:I10" firstHeaderRow="1" firstDataRow="1" firstDataCol="1"/>
  <pivotFields count="2">
    <pivotField dataField="1" showAll="0">
      <items count="7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t="default"/>
      </items>
    </pivotField>
    <pivotField axis="axisRow" showAll="0">
      <items count="9">
        <item x="5"/>
        <item x="3"/>
        <item x="4"/>
        <item x="0"/>
        <item x="7"/>
        <item x="2"/>
        <item x="1"/>
        <item x="6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uenta de product_id" fld="0" subtotal="count" baseField="0" baseItem="0"/>
  </dataFields>
  <formats count="1">
    <format dxfId="2">
      <pivotArea collapsedLevelsAreSubtotals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A1460-9DC1-4A49-BF1E-EA69B76F98A6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:F8" firstHeaderRow="1" firstDataRow="1" firstDataCol="1"/>
  <pivotFields count="2">
    <pivotField dataField="1" showAll="0">
      <items count="34">
        <item x="22"/>
        <item x="0"/>
        <item x="1"/>
        <item x="2"/>
        <item x="21"/>
        <item x="3"/>
        <item x="4"/>
        <item x="2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showAll="0">
      <items count="7">
        <item x="3"/>
        <item x="1"/>
        <item x="4"/>
        <item x="2"/>
        <item x="5"/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Product_ID" fld="0" subtotal="count" baseField="1" baseItem="0"/>
  </dataFields>
  <formats count="1">
    <format dxfId="1">
      <pivotArea collapsedLevelsAreSubtotals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285B-9522-4FC9-9747-347A06D07D7E}">
  <sheetPr filterMode="1"/>
  <dimension ref="A1:M781"/>
  <sheetViews>
    <sheetView tabSelected="1" workbookViewId="0">
      <pane ySplit="1" topLeftCell="A2" activePane="bottomLeft" state="frozen"/>
      <selection pane="bottomLeft" activeCell="B31" sqref="B31 B100 B166 B183 B293 B325 B410 B452 B473 B509 B515 B522 B526 B556 B588 B687 B726"/>
    </sheetView>
  </sheetViews>
  <sheetFormatPr baseColWidth="10" defaultRowHeight="15" x14ac:dyDescent="0.25"/>
  <cols>
    <col min="2" max="2" width="7.28515625" bestFit="1" customWidth="1"/>
    <col min="3" max="3" width="22.140625" bestFit="1" customWidth="1"/>
    <col min="4" max="4" width="30.5703125" bestFit="1" customWidth="1"/>
    <col min="5" max="5" width="13.28515625" bestFit="1" customWidth="1"/>
    <col min="6" max="6" width="15.42578125" bestFit="1" customWidth="1"/>
    <col min="7" max="7" width="1.7109375" customWidth="1"/>
    <col min="8" max="8" width="17.85546875" bestFit="1" customWidth="1"/>
    <col min="9" max="9" width="20.42578125" bestFit="1" customWidth="1"/>
    <col min="10" max="10" width="10.5703125" customWidth="1"/>
    <col min="11" max="11" width="19.5703125" bestFit="1" customWidth="1"/>
    <col min="12" max="12" width="12.5703125" bestFit="1" customWidth="1"/>
  </cols>
  <sheetData>
    <row r="1" spans="1:13" x14ac:dyDescent="0.25">
      <c r="A1" s="9" t="s">
        <v>0</v>
      </c>
      <c r="B1" s="9" t="s">
        <v>1</v>
      </c>
      <c r="C1" s="9" t="s">
        <v>6</v>
      </c>
      <c r="D1" s="9" t="s">
        <v>19</v>
      </c>
      <c r="E1" s="9" t="s">
        <v>20</v>
      </c>
      <c r="F1" s="9" t="s">
        <v>21</v>
      </c>
      <c r="H1" s="1" t="s">
        <v>2</v>
      </c>
      <c r="I1" t="s">
        <v>5</v>
      </c>
      <c r="K1" s="9" t="s">
        <v>6</v>
      </c>
      <c r="M1" s="9" t="s">
        <v>18</v>
      </c>
    </row>
    <row r="2" spans="1:13" hidden="1" x14ac:dyDescent="0.25">
      <c r="A2">
        <v>20002</v>
      </c>
      <c r="B2">
        <v>7</v>
      </c>
      <c r="C2" s="7">
        <v>1496.8074300000001</v>
      </c>
      <c r="D2">
        <v>12</v>
      </c>
      <c r="E2" s="3">
        <f>$C2/SUMIF($B$2:$B$781,B2,$C$2:$C$781)</f>
        <v>0.20216692959732627</v>
      </c>
      <c r="F2" t="s">
        <v>22</v>
      </c>
      <c r="H2" s="2">
        <v>1</v>
      </c>
      <c r="I2">
        <v>38</v>
      </c>
      <c r="J2" s="3">
        <f>I2/I$10</f>
        <v>4.8717948717948718E-2</v>
      </c>
      <c r="K2" s="7">
        <f>SUMIF($B$2:$B$781,H2,$C$2:$C$781)</f>
        <v>1643.9576033333324</v>
      </c>
      <c r="L2" s="3">
        <f>K2/K$10</f>
        <v>5.4226806514289211E-2</v>
      </c>
      <c r="M2" s="10" t="s">
        <v>15</v>
      </c>
    </row>
    <row r="3" spans="1:13" hidden="1" x14ac:dyDescent="0.25">
      <c r="A3">
        <v>20001</v>
      </c>
      <c r="B3">
        <v>4</v>
      </c>
      <c r="C3" s="7">
        <v>1487.8554633333299</v>
      </c>
      <c r="D3">
        <v>12</v>
      </c>
      <c r="E3" s="3">
        <f t="shared" ref="E3:E66" si="0">$C3/SUMIF($B$2:$B$781,B3,$C$2:$C$781)</f>
        <v>0.39853653365020092</v>
      </c>
      <c r="F3" t="s">
        <v>22</v>
      </c>
      <c r="H3" s="2">
        <v>2</v>
      </c>
      <c r="I3" s="5">
        <v>329</v>
      </c>
      <c r="J3" s="6">
        <f t="shared" ref="J3:J10" si="1">I3/I$10</f>
        <v>0.4217948717948718</v>
      </c>
      <c r="K3" s="7">
        <f t="shared" ref="K3:K8" si="2">SUMIF($B$2:$B$781,H3,$C$2:$C$781)</f>
        <v>10002.023453333319</v>
      </c>
      <c r="L3" s="3">
        <f t="shared" ref="L3:L10" si="3">K3/K$10</f>
        <v>0.32992200617312084</v>
      </c>
      <c r="M3" s="10" t="s">
        <v>10</v>
      </c>
    </row>
    <row r="4" spans="1:13" hidden="1" x14ac:dyDescent="0.25">
      <c r="A4">
        <v>20003</v>
      </c>
      <c r="B4">
        <v>7</v>
      </c>
      <c r="C4" s="7">
        <v>974.05389000000002</v>
      </c>
      <c r="D4">
        <v>12</v>
      </c>
      <c r="E4" s="3">
        <f t="shared" si="0"/>
        <v>0.13156100127297723</v>
      </c>
      <c r="F4" t="s">
        <v>22</v>
      </c>
      <c r="H4" s="2">
        <v>3</v>
      </c>
      <c r="I4">
        <v>73</v>
      </c>
      <c r="J4" s="3">
        <f t="shared" si="1"/>
        <v>9.358974358974359E-2</v>
      </c>
      <c r="K4" s="7">
        <f t="shared" si="2"/>
        <v>2210.4381199999948</v>
      </c>
      <c r="L4" s="3">
        <f t="shared" si="3"/>
        <v>7.2912464410278849E-2</v>
      </c>
      <c r="M4" s="10" t="s">
        <v>14</v>
      </c>
    </row>
    <row r="5" spans="1:13" hidden="1" x14ac:dyDescent="0.25">
      <c r="A5">
        <v>20004</v>
      </c>
      <c r="B5">
        <v>7</v>
      </c>
      <c r="C5" s="7">
        <v>808.84613666666598</v>
      </c>
      <c r="D5">
        <v>12</v>
      </c>
      <c r="E5" s="3">
        <f t="shared" si="0"/>
        <v>0.10924714608515752</v>
      </c>
      <c r="F5" t="s">
        <v>22</v>
      </c>
      <c r="H5" s="2">
        <v>4</v>
      </c>
      <c r="I5">
        <v>64</v>
      </c>
      <c r="J5" s="3">
        <f t="shared" si="1"/>
        <v>8.2051282051282051E-2</v>
      </c>
      <c r="K5" s="7">
        <f t="shared" si="2"/>
        <v>3733.2975466666599</v>
      </c>
      <c r="L5" s="3">
        <f t="shared" si="3"/>
        <v>0.12314478385140898</v>
      </c>
      <c r="M5" s="10" t="s">
        <v>13</v>
      </c>
    </row>
    <row r="6" spans="1:13" hidden="1" x14ac:dyDescent="0.25">
      <c r="A6">
        <v>20005</v>
      </c>
      <c r="B6">
        <v>6</v>
      </c>
      <c r="C6" s="7">
        <v>732.31296999999995</v>
      </c>
      <c r="D6">
        <v>12</v>
      </c>
      <c r="E6" s="3">
        <f t="shared" si="0"/>
        <v>0.14019080353424193</v>
      </c>
      <c r="F6" t="s">
        <v>22</v>
      </c>
      <c r="H6" s="2">
        <v>5</v>
      </c>
      <c r="I6">
        <v>3</v>
      </c>
      <c r="J6" s="3">
        <f t="shared" si="1"/>
        <v>3.8461538461538464E-3</v>
      </c>
      <c r="K6" s="7">
        <f t="shared" si="2"/>
        <v>99.103336666666621</v>
      </c>
      <c r="L6" s="3">
        <f t="shared" si="3"/>
        <v>3.2689757031733736E-3</v>
      </c>
      <c r="M6" s="10" t="s">
        <v>17</v>
      </c>
    </row>
    <row r="7" spans="1:13" hidden="1" x14ac:dyDescent="0.25">
      <c r="A7">
        <v>20032</v>
      </c>
      <c r="B7">
        <v>6</v>
      </c>
      <c r="C7" s="7">
        <v>728.55480666666597</v>
      </c>
      <c r="D7">
        <v>0</v>
      </c>
      <c r="E7" s="3">
        <f t="shared" si="0"/>
        <v>0.13947135712390044</v>
      </c>
      <c r="H7" s="2">
        <v>6</v>
      </c>
      <c r="I7">
        <v>153</v>
      </c>
      <c r="J7" s="3">
        <f t="shared" si="1"/>
        <v>0.19615384615384615</v>
      </c>
      <c r="K7" s="7">
        <f t="shared" si="2"/>
        <v>5223.6876566666569</v>
      </c>
      <c r="L7" s="3">
        <f t="shared" si="3"/>
        <v>0.17230608579855719</v>
      </c>
      <c r="M7" s="10" t="s">
        <v>12</v>
      </c>
    </row>
    <row r="8" spans="1:13" hidden="1" x14ac:dyDescent="0.25">
      <c r="A8">
        <v>20009</v>
      </c>
      <c r="B8">
        <v>6</v>
      </c>
      <c r="C8" s="7">
        <v>587.69260333333295</v>
      </c>
      <c r="D8">
        <v>12</v>
      </c>
      <c r="E8" s="3">
        <f t="shared" si="0"/>
        <v>0.11250531079960316</v>
      </c>
      <c r="F8" t="s">
        <v>22</v>
      </c>
      <c r="H8" s="2">
        <v>7</v>
      </c>
      <c r="I8">
        <v>103</v>
      </c>
      <c r="J8" s="3">
        <f t="shared" si="1"/>
        <v>0.13205128205128205</v>
      </c>
      <c r="K8" s="7">
        <f t="shared" si="2"/>
        <v>7403.8193733333319</v>
      </c>
      <c r="L8" s="3">
        <f t="shared" si="3"/>
        <v>0.24421887754917151</v>
      </c>
      <c r="M8" s="10" t="s">
        <v>11</v>
      </c>
    </row>
    <row r="9" spans="1:13" hidden="1" x14ac:dyDescent="0.25">
      <c r="A9">
        <v>20006</v>
      </c>
      <c r="B9">
        <v>2</v>
      </c>
      <c r="C9" s="7">
        <v>448.39092666666602</v>
      </c>
      <c r="D9">
        <v>12</v>
      </c>
      <c r="E9" s="3">
        <f t="shared" si="0"/>
        <v>4.4830021521018656E-2</v>
      </c>
      <c r="F9" t="s">
        <v>22</v>
      </c>
      <c r="H9" s="2" t="s">
        <v>4</v>
      </c>
      <c r="I9">
        <v>17</v>
      </c>
      <c r="J9" s="3">
        <f t="shared" si="1"/>
        <v>2.1794871794871794E-2</v>
      </c>
      <c r="K9" s="7">
        <f>SUMIF($B$2:$B$781,"",$C$2:$C$781)</f>
        <v>0</v>
      </c>
      <c r="L9" s="3">
        <f t="shared" si="3"/>
        <v>0</v>
      </c>
      <c r="M9" s="10" t="s">
        <v>16</v>
      </c>
    </row>
    <row r="10" spans="1:13" hidden="1" x14ac:dyDescent="0.25">
      <c r="A10">
        <v>20010</v>
      </c>
      <c r="B10">
        <v>4</v>
      </c>
      <c r="C10" s="7">
        <v>426.46244666666598</v>
      </c>
      <c r="D10">
        <v>12</v>
      </c>
      <c r="E10" s="3">
        <f t="shared" si="0"/>
        <v>0.11423210749634474</v>
      </c>
      <c r="F10" t="s">
        <v>22</v>
      </c>
      <c r="H10" s="2" t="s">
        <v>3</v>
      </c>
      <c r="I10">
        <v>780</v>
      </c>
      <c r="J10" s="4">
        <f t="shared" si="1"/>
        <v>1</v>
      </c>
      <c r="K10" s="8">
        <f>SUM(K2:K9)</f>
        <v>30316.327089999962</v>
      </c>
      <c r="L10" s="4">
        <f t="shared" si="3"/>
        <v>1</v>
      </c>
    </row>
    <row r="11" spans="1:13" hidden="1" x14ac:dyDescent="0.25">
      <c r="A11">
        <v>20014</v>
      </c>
      <c r="B11">
        <v>2</v>
      </c>
      <c r="C11" s="7">
        <v>399.96319999999997</v>
      </c>
      <c r="D11">
        <v>12</v>
      </c>
      <c r="E11" s="3">
        <f t="shared" si="0"/>
        <v>3.9988228568560942E-2</v>
      </c>
      <c r="F11" t="s">
        <v>22</v>
      </c>
    </row>
    <row r="12" spans="1:13" hidden="1" x14ac:dyDescent="0.25">
      <c r="A12">
        <v>20007</v>
      </c>
      <c r="B12">
        <v>2</v>
      </c>
      <c r="C12" s="7">
        <v>397.88076333333299</v>
      </c>
      <c r="D12">
        <v>12</v>
      </c>
      <c r="E12" s="3">
        <f t="shared" si="0"/>
        <v>3.9780027030503859E-2</v>
      </c>
      <c r="F12" t="s">
        <v>22</v>
      </c>
    </row>
    <row r="13" spans="1:13" hidden="1" x14ac:dyDescent="0.25">
      <c r="A13">
        <v>20019</v>
      </c>
      <c r="B13">
        <v>7</v>
      </c>
      <c r="C13" s="7">
        <v>394.184233333333</v>
      </c>
      <c r="D13">
        <v>12</v>
      </c>
      <c r="E13" s="3">
        <f t="shared" si="0"/>
        <v>5.324066045601869E-2</v>
      </c>
      <c r="F13" t="s">
        <v>22</v>
      </c>
    </row>
    <row r="14" spans="1:13" hidden="1" x14ac:dyDescent="0.25">
      <c r="A14">
        <v>20013</v>
      </c>
      <c r="B14">
        <v>4</v>
      </c>
      <c r="C14" s="7">
        <v>393.86255999999997</v>
      </c>
      <c r="D14">
        <v>12</v>
      </c>
      <c r="E14" s="3">
        <f t="shared" si="0"/>
        <v>0.105499911292007</v>
      </c>
      <c r="F14" t="s">
        <v>22</v>
      </c>
    </row>
    <row r="15" spans="1:13" hidden="1" x14ac:dyDescent="0.25">
      <c r="A15">
        <v>20011</v>
      </c>
      <c r="B15">
        <v>1</v>
      </c>
      <c r="C15" s="7">
        <v>370.07333999999997</v>
      </c>
      <c r="D15">
        <v>12</v>
      </c>
      <c r="E15" s="3">
        <f t="shared" si="0"/>
        <v>0.22511124328853091</v>
      </c>
      <c r="F15" t="s">
        <v>22</v>
      </c>
    </row>
    <row r="16" spans="1:13" hidden="1" x14ac:dyDescent="0.25">
      <c r="A16">
        <v>20015</v>
      </c>
      <c r="B16">
        <v>2</v>
      </c>
      <c r="C16" s="7">
        <v>364.10170333333298</v>
      </c>
      <c r="D16">
        <v>12</v>
      </c>
      <c r="E16" s="3">
        <f t="shared" si="0"/>
        <v>3.6402804395743629E-2</v>
      </c>
      <c r="F16" t="s">
        <v>22</v>
      </c>
    </row>
    <row r="17" spans="1:6" hidden="1" x14ac:dyDescent="0.25">
      <c r="A17">
        <v>20008</v>
      </c>
      <c r="B17">
        <v>3</v>
      </c>
      <c r="C17" s="7">
        <v>348.21294666666603</v>
      </c>
      <c r="D17">
        <v>12</v>
      </c>
      <c r="E17" s="3">
        <f t="shared" si="0"/>
        <v>0.15753118963885171</v>
      </c>
      <c r="F17" t="s">
        <v>22</v>
      </c>
    </row>
    <row r="18" spans="1:6" hidden="1" x14ac:dyDescent="0.25">
      <c r="A18">
        <v>20026</v>
      </c>
      <c r="B18">
        <v>7</v>
      </c>
      <c r="C18" s="7">
        <v>306.54185333333299</v>
      </c>
      <c r="D18">
        <v>12</v>
      </c>
      <c r="E18" s="3">
        <f t="shared" si="0"/>
        <v>4.1403205275025827E-2</v>
      </c>
      <c r="F18" t="s">
        <v>22</v>
      </c>
    </row>
    <row r="19" spans="1:6" hidden="1" x14ac:dyDescent="0.25">
      <c r="A19">
        <v>20016</v>
      </c>
      <c r="B19">
        <v>4</v>
      </c>
      <c r="C19" s="7">
        <v>281.34834000000001</v>
      </c>
      <c r="D19">
        <v>12</v>
      </c>
      <c r="E19" s="3">
        <f t="shared" si="0"/>
        <v>7.5361884897496803E-2</v>
      </c>
      <c r="F19" t="s">
        <v>22</v>
      </c>
    </row>
    <row r="20" spans="1:6" hidden="1" x14ac:dyDescent="0.25">
      <c r="A20">
        <v>20023</v>
      </c>
      <c r="B20">
        <v>2</v>
      </c>
      <c r="C20" s="7">
        <v>281.27645000000001</v>
      </c>
      <c r="D20">
        <v>12</v>
      </c>
      <c r="E20" s="3">
        <f t="shared" si="0"/>
        <v>2.8121954653711652E-2</v>
      </c>
      <c r="F20" t="s">
        <v>22</v>
      </c>
    </row>
    <row r="21" spans="1:6" hidden="1" x14ac:dyDescent="0.25">
      <c r="A21">
        <v>20020</v>
      </c>
      <c r="B21">
        <v>2</v>
      </c>
      <c r="C21" s="7">
        <v>275.25970999999998</v>
      </c>
      <c r="D21">
        <v>12</v>
      </c>
      <c r="E21" s="3">
        <f t="shared" si="0"/>
        <v>2.7520402375008E-2</v>
      </c>
      <c r="F21" t="s">
        <v>22</v>
      </c>
    </row>
    <row r="22" spans="1:6" hidden="1" x14ac:dyDescent="0.25">
      <c r="A22">
        <v>20127</v>
      </c>
      <c r="B22">
        <v>6</v>
      </c>
      <c r="C22" s="7">
        <v>273.64860333333303</v>
      </c>
      <c r="D22">
        <v>0</v>
      </c>
      <c r="E22" s="3">
        <f t="shared" si="0"/>
        <v>5.2386096053061847E-2</v>
      </c>
    </row>
    <row r="23" spans="1:6" hidden="1" x14ac:dyDescent="0.25">
      <c r="A23">
        <v>20012</v>
      </c>
      <c r="B23">
        <v>2</v>
      </c>
      <c r="C23" s="7">
        <v>270.84656333333299</v>
      </c>
      <c r="D23">
        <v>12</v>
      </c>
      <c r="E23" s="3">
        <f t="shared" si="0"/>
        <v>2.7079176988239261E-2</v>
      </c>
      <c r="F23" t="s">
        <v>22</v>
      </c>
    </row>
    <row r="24" spans="1:6" hidden="1" x14ac:dyDescent="0.25">
      <c r="A24">
        <v>20017</v>
      </c>
      <c r="B24">
        <v>2</v>
      </c>
      <c r="C24" s="7">
        <v>245.29899</v>
      </c>
      <c r="D24">
        <v>12</v>
      </c>
      <c r="E24" s="3">
        <f t="shared" si="0"/>
        <v>2.4524936493550271E-2</v>
      </c>
      <c r="F24" t="s">
        <v>22</v>
      </c>
    </row>
    <row r="25" spans="1:6" hidden="1" x14ac:dyDescent="0.25">
      <c r="A25">
        <v>20021</v>
      </c>
      <c r="B25">
        <v>2</v>
      </c>
      <c r="C25" s="7">
        <v>244.768206666666</v>
      </c>
      <c r="D25">
        <v>12</v>
      </c>
      <c r="E25" s="3">
        <f t="shared" si="0"/>
        <v>2.4471868898197142E-2</v>
      </c>
      <c r="F25" t="s">
        <v>22</v>
      </c>
    </row>
    <row r="26" spans="1:6" hidden="1" x14ac:dyDescent="0.25">
      <c r="A26">
        <v>20022</v>
      </c>
      <c r="B26">
        <v>2</v>
      </c>
      <c r="C26" s="7">
        <v>241.02621666666599</v>
      </c>
      <c r="D26">
        <v>12</v>
      </c>
      <c r="E26" s="3">
        <f t="shared" si="0"/>
        <v>2.409774560030056E-2</v>
      </c>
      <c r="F26" t="s">
        <v>22</v>
      </c>
    </row>
    <row r="27" spans="1:6" hidden="1" x14ac:dyDescent="0.25">
      <c r="A27">
        <v>20018</v>
      </c>
      <c r="B27">
        <v>2</v>
      </c>
      <c r="C27" s="7">
        <v>224.56842333333299</v>
      </c>
      <c r="D27">
        <v>12</v>
      </c>
      <c r="E27" s="3">
        <f t="shared" si="0"/>
        <v>2.2452299215364499E-2</v>
      </c>
      <c r="F27" t="s">
        <v>22</v>
      </c>
    </row>
    <row r="28" spans="1:6" hidden="1" x14ac:dyDescent="0.25">
      <c r="A28">
        <v>20027</v>
      </c>
      <c r="B28">
        <v>3</v>
      </c>
      <c r="C28" s="7">
        <v>216.335023333333</v>
      </c>
      <c r="D28">
        <v>12</v>
      </c>
      <c r="E28" s="3">
        <f t="shared" si="0"/>
        <v>9.7869748705443751E-2</v>
      </c>
      <c r="F28" t="s">
        <v>22</v>
      </c>
    </row>
    <row r="29" spans="1:6" hidden="1" x14ac:dyDescent="0.25">
      <c r="A29">
        <v>20024</v>
      </c>
      <c r="B29">
        <v>1</v>
      </c>
      <c r="C29" s="7">
        <v>210.25368</v>
      </c>
      <c r="D29">
        <v>12</v>
      </c>
      <c r="E29" s="3">
        <f t="shared" si="0"/>
        <v>0.12789483109155858</v>
      </c>
      <c r="F29" t="s">
        <v>22</v>
      </c>
    </row>
    <row r="30" spans="1:6" hidden="1" x14ac:dyDescent="0.25">
      <c r="A30">
        <v>20025</v>
      </c>
      <c r="B30">
        <v>1</v>
      </c>
      <c r="C30" s="7">
        <v>210.06258</v>
      </c>
      <c r="D30">
        <v>12</v>
      </c>
      <c r="E30" s="3">
        <f t="shared" si="0"/>
        <v>0.12777858721786467</v>
      </c>
      <c r="F30" t="s">
        <v>22</v>
      </c>
    </row>
    <row r="31" spans="1:6" x14ac:dyDescent="0.25">
      <c r="A31">
        <v>20085</v>
      </c>
      <c r="B31">
        <v>0</v>
      </c>
      <c r="C31" s="7">
        <v>209.58541333333301</v>
      </c>
      <c r="D31">
        <v>3</v>
      </c>
      <c r="E31" s="3">
        <f t="shared" si="0"/>
        <v>0.50391639534928434</v>
      </c>
    </row>
    <row r="32" spans="1:6" hidden="1" x14ac:dyDescent="0.25">
      <c r="A32">
        <v>20031</v>
      </c>
      <c r="B32">
        <v>2</v>
      </c>
      <c r="C32" s="7">
        <v>201.13181999999901</v>
      </c>
      <c r="D32">
        <v>12</v>
      </c>
      <c r="E32" s="3">
        <f t="shared" si="0"/>
        <v>2.0109113014823907E-2</v>
      </c>
      <c r="F32" t="s">
        <v>22</v>
      </c>
    </row>
    <row r="33" spans="1:6" hidden="1" x14ac:dyDescent="0.25">
      <c r="A33">
        <v>20089</v>
      </c>
      <c r="B33">
        <v>6</v>
      </c>
      <c r="C33" s="7">
        <v>190.611756666666</v>
      </c>
      <c r="D33">
        <v>5</v>
      </c>
      <c r="E33" s="3">
        <f t="shared" si="0"/>
        <v>3.6489884004339439E-2</v>
      </c>
    </row>
    <row r="34" spans="1:6" hidden="1" x14ac:dyDescent="0.25">
      <c r="A34">
        <v>20042</v>
      </c>
      <c r="B34">
        <v>7</v>
      </c>
      <c r="C34" s="7">
        <v>181.32715666666601</v>
      </c>
      <c r="D34">
        <v>12</v>
      </c>
      <c r="E34" s="3">
        <f t="shared" si="0"/>
        <v>2.4491029227395818E-2</v>
      </c>
      <c r="F34" t="s">
        <v>22</v>
      </c>
    </row>
    <row r="35" spans="1:6" hidden="1" x14ac:dyDescent="0.25">
      <c r="A35">
        <v>20046</v>
      </c>
      <c r="B35">
        <v>7</v>
      </c>
      <c r="C35" s="7">
        <v>180.38458</v>
      </c>
      <c r="D35">
        <v>12</v>
      </c>
      <c r="E35" s="3">
        <f t="shared" si="0"/>
        <v>2.436371971062655E-2</v>
      </c>
      <c r="F35" t="s">
        <v>22</v>
      </c>
    </row>
    <row r="36" spans="1:6" hidden="1" x14ac:dyDescent="0.25">
      <c r="A36">
        <v>20049</v>
      </c>
      <c r="B36">
        <v>6</v>
      </c>
      <c r="C36" s="7">
        <v>179.58668</v>
      </c>
      <c r="D36">
        <v>12</v>
      </c>
      <c r="E36" s="3">
        <f t="shared" si="0"/>
        <v>3.4379291374897779E-2</v>
      </c>
      <c r="F36" t="s">
        <v>22</v>
      </c>
    </row>
    <row r="37" spans="1:6" hidden="1" x14ac:dyDescent="0.25">
      <c r="A37">
        <v>20028</v>
      </c>
      <c r="B37">
        <v>2</v>
      </c>
      <c r="C37" s="7">
        <v>171.26382000000001</v>
      </c>
      <c r="D37">
        <v>12</v>
      </c>
      <c r="E37" s="3">
        <f t="shared" si="0"/>
        <v>1.7122917257599898E-2</v>
      </c>
      <c r="F37" t="s">
        <v>22</v>
      </c>
    </row>
    <row r="38" spans="1:6" hidden="1" x14ac:dyDescent="0.25">
      <c r="A38">
        <v>20029</v>
      </c>
      <c r="B38">
        <v>2</v>
      </c>
      <c r="C38" s="7">
        <v>169.511153333333</v>
      </c>
      <c r="D38">
        <v>12</v>
      </c>
      <c r="E38" s="3">
        <f t="shared" si="0"/>
        <v>1.6947686048150681E-2</v>
      </c>
      <c r="F38" t="s">
        <v>22</v>
      </c>
    </row>
    <row r="39" spans="1:6" hidden="1" x14ac:dyDescent="0.25">
      <c r="A39">
        <v>20035</v>
      </c>
      <c r="B39">
        <v>2</v>
      </c>
      <c r="C39" s="7">
        <v>168.89314999999999</v>
      </c>
      <c r="D39">
        <v>12</v>
      </c>
      <c r="E39" s="3">
        <f t="shared" si="0"/>
        <v>1.6885898217296611E-2</v>
      </c>
      <c r="F39" t="s">
        <v>22</v>
      </c>
    </row>
    <row r="40" spans="1:6" hidden="1" x14ac:dyDescent="0.25">
      <c r="A40">
        <v>20045</v>
      </c>
      <c r="B40">
        <v>4</v>
      </c>
      <c r="C40" s="7">
        <v>167.93541999999999</v>
      </c>
      <c r="D40">
        <v>12</v>
      </c>
      <c r="E40" s="3">
        <f t="shared" si="0"/>
        <v>4.4983132981174803E-2</v>
      </c>
      <c r="F40" t="s">
        <v>22</v>
      </c>
    </row>
    <row r="41" spans="1:6" hidden="1" x14ac:dyDescent="0.25">
      <c r="A41">
        <v>20044</v>
      </c>
      <c r="B41">
        <v>3</v>
      </c>
      <c r="C41" s="7">
        <v>164.60371000000001</v>
      </c>
      <c r="D41">
        <v>12</v>
      </c>
      <c r="E41" s="3">
        <f t="shared" si="0"/>
        <v>7.4466554168908558E-2</v>
      </c>
      <c r="F41" t="s">
        <v>22</v>
      </c>
    </row>
    <row r="42" spans="1:6" hidden="1" x14ac:dyDescent="0.25">
      <c r="A42">
        <v>20033</v>
      </c>
      <c r="B42">
        <v>2</v>
      </c>
      <c r="C42" s="7">
        <v>161.61418</v>
      </c>
      <c r="D42">
        <v>12</v>
      </c>
      <c r="E42" s="3">
        <f t="shared" si="0"/>
        <v>1.6158148474060992E-2</v>
      </c>
      <c r="F42" t="s">
        <v>22</v>
      </c>
    </row>
    <row r="43" spans="1:6" hidden="1" x14ac:dyDescent="0.25">
      <c r="A43">
        <v>20054</v>
      </c>
      <c r="B43">
        <v>1</v>
      </c>
      <c r="C43" s="7">
        <v>157.7758</v>
      </c>
      <c r="D43">
        <v>12</v>
      </c>
      <c r="E43" s="3">
        <f t="shared" si="0"/>
        <v>9.597315629070334E-2</v>
      </c>
      <c r="F43" t="s">
        <v>22</v>
      </c>
    </row>
    <row r="44" spans="1:6" hidden="1" x14ac:dyDescent="0.25">
      <c r="A44">
        <v>20053</v>
      </c>
      <c r="B44">
        <v>2</v>
      </c>
      <c r="C44" s="7">
        <v>157.45154666666599</v>
      </c>
      <c r="D44">
        <v>12</v>
      </c>
      <c r="E44" s="3">
        <f t="shared" si="0"/>
        <v>1.5741969352630641E-2</v>
      </c>
      <c r="F44" t="s">
        <v>22</v>
      </c>
    </row>
    <row r="45" spans="1:6" hidden="1" x14ac:dyDescent="0.25">
      <c r="A45">
        <v>20038</v>
      </c>
      <c r="B45">
        <v>3</v>
      </c>
      <c r="C45" s="7">
        <v>152.71109666666601</v>
      </c>
      <c r="D45">
        <v>12</v>
      </c>
      <c r="E45" s="3">
        <f t="shared" si="0"/>
        <v>6.9086347762888911E-2</v>
      </c>
      <c r="F45" t="s">
        <v>22</v>
      </c>
    </row>
    <row r="46" spans="1:6" hidden="1" x14ac:dyDescent="0.25">
      <c r="A46">
        <v>20039</v>
      </c>
      <c r="B46">
        <v>2</v>
      </c>
      <c r="C46" s="7">
        <v>148.752266666666</v>
      </c>
      <c r="D46">
        <v>12</v>
      </c>
      <c r="E46" s="3">
        <f t="shared" si="0"/>
        <v>1.4872217342890969E-2</v>
      </c>
      <c r="F46" t="s">
        <v>22</v>
      </c>
    </row>
    <row r="47" spans="1:6" hidden="1" x14ac:dyDescent="0.25">
      <c r="A47">
        <v>20059</v>
      </c>
      <c r="B47">
        <v>6</v>
      </c>
      <c r="C47" s="7">
        <v>148.21519000000001</v>
      </c>
      <c r="D47">
        <v>12</v>
      </c>
      <c r="E47" s="3">
        <f t="shared" si="0"/>
        <v>2.8373670047220852E-2</v>
      </c>
      <c r="F47" t="s">
        <v>22</v>
      </c>
    </row>
    <row r="48" spans="1:6" hidden="1" x14ac:dyDescent="0.25">
      <c r="A48">
        <v>20084</v>
      </c>
      <c r="B48">
        <v>7</v>
      </c>
      <c r="C48" s="7">
        <v>146.88954000000001</v>
      </c>
      <c r="D48">
        <v>12</v>
      </c>
      <c r="E48" s="3">
        <f t="shared" si="0"/>
        <v>1.9839697944152804E-2</v>
      </c>
      <c r="F48" t="s">
        <v>22</v>
      </c>
    </row>
    <row r="49" spans="1:6" hidden="1" x14ac:dyDescent="0.25">
      <c r="A49">
        <v>20047</v>
      </c>
      <c r="B49">
        <v>3</v>
      </c>
      <c r="C49" s="7">
        <v>146.85475</v>
      </c>
      <c r="D49">
        <v>12</v>
      </c>
      <c r="E49" s="3">
        <f t="shared" si="0"/>
        <v>6.6436942374120997E-2</v>
      </c>
      <c r="F49" t="s">
        <v>22</v>
      </c>
    </row>
    <row r="50" spans="1:6" hidden="1" x14ac:dyDescent="0.25">
      <c r="A50">
        <v>20041</v>
      </c>
      <c r="B50">
        <v>7</v>
      </c>
      <c r="C50" s="7">
        <v>146.28147999999999</v>
      </c>
      <c r="D50">
        <v>12</v>
      </c>
      <c r="E50" s="3">
        <f t="shared" si="0"/>
        <v>1.9757570062671783E-2</v>
      </c>
      <c r="F50" t="s">
        <v>22</v>
      </c>
    </row>
    <row r="51" spans="1:6" hidden="1" x14ac:dyDescent="0.25">
      <c r="A51">
        <v>20061</v>
      </c>
      <c r="B51">
        <v>2</v>
      </c>
      <c r="C51" s="7">
        <v>143.137243333333</v>
      </c>
      <c r="D51">
        <v>12</v>
      </c>
      <c r="E51" s="3">
        <f t="shared" si="0"/>
        <v>1.4310828603949178E-2</v>
      </c>
      <c r="F51" t="s">
        <v>22</v>
      </c>
    </row>
    <row r="52" spans="1:6" hidden="1" x14ac:dyDescent="0.25">
      <c r="A52">
        <v>20051</v>
      </c>
      <c r="B52">
        <v>2</v>
      </c>
      <c r="C52" s="7">
        <v>136.74148666666599</v>
      </c>
      <c r="D52">
        <v>12</v>
      </c>
      <c r="E52" s="3">
        <f t="shared" si="0"/>
        <v>1.3671382326252686E-2</v>
      </c>
      <c r="F52" t="s">
        <v>22</v>
      </c>
    </row>
    <row r="53" spans="1:6" hidden="1" x14ac:dyDescent="0.25">
      <c r="A53">
        <v>20043</v>
      </c>
      <c r="B53">
        <v>2</v>
      </c>
      <c r="C53" s="7">
        <v>135.94379999999899</v>
      </c>
      <c r="D53">
        <v>12</v>
      </c>
      <c r="E53" s="3">
        <f t="shared" si="0"/>
        <v>1.3591629797138073E-2</v>
      </c>
      <c r="F53" t="s">
        <v>22</v>
      </c>
    </row>
    <row r="54" spans="1:6" hidden="1" x14ac:dyDescent="0.25">
      <c r="A54">
        <v>20075</v>
      </c>
      <c r="B54">
        <v>6</v>
      </c>
      <c r="C54" s="7">
        <v>135.36904999999999</v>
      </c>
      <c r="D54">
        <v>12</v>
      </c>
      <c r="E54" s="3">
        <f t="shared" si="0"/>
        <v>2.5914460989496024E-2</v>
      </c>
      <c r="F54" t="s">
        <v>22</v>
      </c>
    </row>
    <row r="55" spans="1:6" hidden="1" x14ac:dyDescent="0.25">
      <c r="A55">
        <v>20050</v>
      </c>
      <c r="B55">
        <v>4</v>
      </c>
      <c r="C55" s="7">
        <v>133.80054666666601</v>
      </c>
      <c r="D55">
        <v>12</v>
      </c>
      <c r="E55" s="3">
        <f t="shared" si="0"/>
        <v>3.5839775692706889E-2</v>
      </c>
      <c r="F55" t="s">
        <v>22</v>
      </c>
    </row>
    <row r="56" spans="1:6" hidden="1" x14ac:dyDescent="0.25">
      <c r="A56">
        <v>20063</v>
      </c>
      <c r="B56">
        <v>7</v>
      </c>
      <c r="C56" s="7">
        <v>128.87377000000001</v>
      </c>
      <c r="D56">
        <v>12</v>
      </c>
      <c r="E56" s="3">
        <f t="shared" si="0"/>
        <v>1.740639033742104E-2</v>
      </c>
      <c r="F56" t="s">
        <v>22</v>
      </c>
    </row>
    <row r="57" spans="1:6" hidden="1" x14ac:dyDescent="0.25">
      <c r="A57">
        <v>20116</v>
      </c>
      <c r="B57">
        <v>7</v>
      </c>
      <c r="C57" s="7">
        <v>127.167623333333</v>
      </c>
      <c r="D57">
        <v>12</v>
      </c>
      <c r="E57" s="3">
        <f t="shared" si="0"/>
        <v>1.7175948915144842E-2</v>
      </c>
      <c r="F57" t="s">
        <v>22</v>
      </c>
    </row>
    <row r="58" spans="1:6" hidden="1" x14ac:dyDescent="0.25">
      <c r="A58">
        <v>20057</v>
      </c>
      <c r="B58">
        <v>2</v>
      </c>
      <c r="C58" s="7">
        <v>125.308496666666</v>
      </c>
      <c r="D58">
        <v>12</v>
      </c>
      <c r="E58" s="3">
        <f t="shared" si="0"/>
        <v>1.2528314620668595E-2</v>
      </c>
      <c r="F58" t="s">
        <v>22</v>
      </c>
    </row>
    <row r="59" spans="1:6" hidden="1" x14ac:dyDescent="0.25">
      <c r="A59">
        <v>20058</v>
      </c>
      <c r="B59">
        <v>2</v>
      </c>
      <c r="C59" s="7">
        <v>122.943</v>
      </c>
      <c r="D59">
        <v>12</v>
      </c>
      <c r="E59" s="3">
        <f t="shared" si="0"/>
        <v>1.2291812809039902E-2</v>
      </c>
      <c r="F59" t="s">
        <v>22</v>
      </c>
    </row>
    <row r="60" spans="1:6" hidden="1" x14ac:dyDescent="0.25">
      <c r="A60">
        <v>20130</v>
      </c>
      <c r="B60">
        <v>4</v>
      </c>
      <c r="C60" s="7">
        <v>118.469563333333</v>
      </c>
      <c r="D60">
        <v>8</v>
      </c>
      <c r="E60" s="3">
        <f t="shared" si="0"/>
        <v>3.1733222935608395E-2</v>
      </c>
    </row>
    <row r="61" spans="1:6" hidden="1" x14ac:dyDescent="0.25">
      <c r="A61">
        <v>20073</v>
      </c>
      <c r="B61">
        <v>1</v>
      </c>
      <c r="C61" s="7">
        <v>117.873856666666</v>
      </c>
      <c r="D61">
        <v>12</v>
      </c>
      <c r="E61" s="3">
        <f t="shared" si="0"/>
        <v>7.1701275280859927E-2</v>
      </c>
      <c r="F61" t="s">
        <v>22</v>
      </c>
    </row>
    <row r="62" spans="1:6" hidden="1" x14ac:dyDescent="0.25">
      <c r="A62">
        <v>20052</v>
      </c>
      <c r="B62">
        <v>2</v>
      </c>
      <c r="C62" s="7">
        <v>114.652546666666</v>
      </c>
      <c r="D62">
        <v>12</v>
      </c>
      <c r="E62" s="3">
        <f t="shared" si="0"/>
        <v>1.146293519522356E-2</v>
      </c>
      <c r="F62" t="s">
        <v>22</v>
      </c>
    </row>
    <row r="63" spans="1:6" hidden="1" x14ac:dyDescent="0.25">
      <c r="A63">
        <v>20065</v>
      </c>
      <c r="B63">
        <v>3</v>
      </c>
      <c r="C63" s="7">
        <v>114.580829999999</v>
      </c>
      <c r="D63">
        <v>12</v>
      </c>
      <c r="E63" s="3">
        <f t="shared" si="0"/>
        <v>5.1836253167765342E-2</v>
      </c>
      <c r="F63" t="s">
        <v>22</v>
      </c>
    </row>
    <row r="64" spans="1:6" hidden="1" x14ac:dyDescent="0.25">
      <c r="A64">
        <v>20069</v>
      </c>
      <c r="B64">
        <v>2</v>
      </c>
      <c r="C64" s="7">
        <v>113.98740333333301</v>
      </c>
      <c r="D64">
        <v>12</v>
      </c>
      <c r="E64" s="3">
        <f t="shared" si="0"/>
        <v>1.1396434318032424E-2</v>
      </c>
      <c r="F64" t="s">
        <v>22</v>
      </c>
    </row>
    <row r="65" spans="1:6" hidden="1" x14ac:dyDescent="0.25">
      <c r="A65">
        <v>20135</v>
      </c>
      <c r="B65">
        <v>6</v>
      </c>
      <c r="C65" s="7">
        <v>110.523646666666</v>
      </c>
      <c r="D65">
        <v>9</v>
      </c>
      <c r="E65" s="3">
        <f t="shared" si="0"/>
        <v>2.115816525239823E-2</v>
      </c>
    </row>
    <row r="66" spans="1:6" hidden="1" x14ac:dyDescent="0.25">
      <c r="A66">
        <v>20121</v>
      </c>
      <c r="B66">
        <v>7</v>
      </c>
      <c r="C66" s="7">
        <v>108.701023333333</v>
      </c>
      <c r="D66">
        <v>12</v>
      </c>
      <c r="E66" s="3">
        <f t="shared" si="0"/>
        <v>1.4681749763486443E-2</v>
      </c>
      <c r="F66" t="s">
        <v>22</v>
      </c>
    </row>
    <row r="67" spans="1:6" hidden="1" x14ac:dyDescent="0.25">
      <c r="A67">
        <v>20070</v>
      </c>
      <c r="B67">
        <v>2</v>
      </c>
      <c r="C67" s="7">
        <v>108.15643</v>
      </c>
      <c r="D67">
        <v>12</v>
      </c>
      <c r="E67" s="3">
        <f t="shared" ref="E67:E130" si="4">$C67/SUMIF($B$2:$B$781,B67,$C$2:$C$781)</f>
        <v>1.0813454947854108E-2</v>
      </c>
      <c r="F67" t="s">
        <v>22</v>
      </c>
    </row>
    <row r="68" spans="1:6" hidden="1" x14ac:dyDescent="0.25">
      <c r="A68">
        <v>20150</v>
      </c>
      <c r="B68">
        <v>7</v>
      </c>
      <c r="C68" s="7">
        <v>107.41561</v>
      </c>
      <c r="D68">
        <v>9</v>
      </c>
      <c r="E68" s="3">
        <f t="shared" si="4"/>
        <v>1.4508134867104351E-2</v>
      </c>
    </row>
    <row r="69" spans="1:6" hidden="1" x14ac:dyDescent="0.25">
      <c r="A69">
        <v>20210</v>
      </c>
      <c r="B69">
        <v>6</v>
      </c>
      <c r="C69" s="7">
        <v>106.97632</v>
      </c>
      <c r="D69">
        <v>0</v>
      </c>
      <c r="E69" s="3">
        <f t="shared" si="4"/>
        <v>2.0479080494690948E-2</v>
      </c>
    </row>
    <row r="70" spans="1:6" hidden="1" x14ac:dyDescent="0.25">
      <c r="A70">
        <v>20056</v>
      </c>
      <c r="B70">
        <v>7</v>
      </c>
      <c r="C70" s="7">
        <v>106.61924</v>
      </c>
      <c r="D70">
        <v>12</v>
      </c>
      <c r="E70" s="3">
        <f t="shared" si="4"/>
        <v>1.4400572815703108E-2</v>
      </c>
      <c r="F70" t="s">
        <v>22</v>
      </c>
    </row>
    <row r="71" spans="1:6" hidden="1" x14ac:dyDescent="0.25">
      <c r="A71">
        <v>20094</v>
      </c>
      <c r="B71">
        <v>6</v>
      </c>
      <c r="C71" s="7">
        <v>104.600076666666</v>
      </c>
      <c r="D71">
        <v>12</v>
      </c>
      <c r="E71" s="3">
        <f t="shared" si="4"/>
        <v>2.0024182826699381E-2</v>
      </c>
      <c r="F71" t="s">
        <v>22</v>
      </c>
    </row>
    <row r="72" spans="1:6" hidden="1" x14ac:dyDescent="0.25">
      <c r="A72">
        <v>20174</v>
      </c>
      <c r="B72">
        <v>6</v>
      </c>
      <c r="C72" s="7">
        <v>102.493789999999</v>
      </c>
      <c r="D72">
        <v>0</v>
      </c>
      <c r="E72" s="3">
        <f t="shared" si="4"/>
        <v>1.9620964486495043E-2</v>
      </c>
    </row>
    <row r="73" spans="1:6" hidden="1" x14ac:dyDescent="0.25">
      <c r="A73">
        <v>20081</v>
      </c>
      <c r="B73">
        <v>1</v>
      </c>
      <c r="C73" s="7">
        <v>100.9554</v>
      </c>
      <c r="D73">
        <v>12</v>
      </c>
      <c r="E73" s="3">
        <f t="shared" si="4"/>
        <v>6.1409977845718243E-2</v>
      </c>
      <c r="F73" t="s">
        <v>22</v>
      </c>
    </row>
    <row r="74" spans="1:6" hidden="1" x14ac:dyDescent="0.25">
      <c r="A74">
        <v>20062</v>
      </c>
      <c r="B74">
        <v>3</v>
      </c>
      <c r="C74" s="7">
        <v>100.866996666666</v>
      </c>
      <c r="D74">
        <v>12</v>
      </c>
      <c r="E74" s="3">
        <f t="shared" si="4"/>
        <v>4.563212865088765E-2</v>
      </c>
      <c r="F74" t="s">
        <v>22</v>
      </c>
    </row>
    <row r="75" spans="1:6" hidden="1" x14ac:dyDescent="0.25">
      <c r="A75">
        <v>20068</v>
      </c>
      <c r="B75">
        <v>2</v>
      </c>
      <c r="C75" s="7">
        <v>100.42795</v>
      </c>
      <c r="D75">
        <v>12</v>
      </c>
      <c r="E75" s="3">
        <f t="shared" si="4"/>
        <v>1.0040763298403478E-2</v>
      </c>
      <c r="F75" t="s">
        <v>22</v>
      </c>
    </row>
    <row r="76" spans="1:6" hidden="1" x14ac:dyDescent="0.25">
      <c r="A76">
        <v>20071</v>
      </c>
      <c r="B76">
        <v>2</v>
      </c>
      <c r="C76" s="7">
        <v>100.20783</v>
      </c>
      <c r="D76">
        <v>12</v>
      </c>
      <c r="E76" s="3">
        <f t="shared" si="4"/>
        <v>1.0018755751527886E-2</v>
      </c>
      <c r="F76" t="s">
        <v>22</v>
      </c>
    </row>
    <row r="77" spans="1:6" hidden="1" x14ac:dyDescent="0.25">
      <c r="A77">
        <v>20143</v>
      </c>
      <c r="B77">
        <v>3</v>
      </c>
      <c r="C77" s="7">
        <v>99.805833333333297</v>
      </c>
      <c r="D77">
        <v>8</v>
      </c>
      <c r="E77" s="3">
        <f t="shared" si="4"/>
        <v>4.5152059417674868E-2</v>
      </c>
    </row>
    <row r="78" spans="1:6" hidden="1" x14ac:dyDescent="0.25">
      <c r="A78">
        <v>20126</v>
      </c>
      <c r="B78">
        <v>2</v>
      </c>
      <c r="C78" s="7">
        <v>99.731973333333301</v>
      </c>
      <c r="D78">
        <v>9</v>
      </c>
      <c r="E78" s="3">
        <f t="shared" si="4"/>
        <v>9.9711797116508634E-3</v>
      </c>
    </row>
    <row r="79" spans="1:6" hidden="1" x14ac:dyDescent="0.25">
      <c r="A79">
        <v>20066</v>
      </c>
      <c r="B79">
        <v>2</v>
      </c>
      <c r="C79" s="7">
        <v>99.182696666666601</v>
      </c>
      <c r="D79">
        <v>12</v>
      </c>
      <c r="E79" s="3">
        <f t="shared" si="4"/>
        <v>9.916263157092731E-3</v>
      </c>
      <c r="F79" t="s">
        <v>22</v>
      </c>
    </row>
    <row r="80" spans="1:6" hidden="1" x14ac:dyDescent="0.25">
      <c r="A80">
        <v>20055</v>
      </c>
      <c r="B80">
        <v>7</v>
      </c>
      <c r="C80" s="7">
        <v>98.7124799999999</v>
      </c>
      <c r="D80">
        <v>12</v>
      </c>
      <c r="E80" s="3">
        <f t="shared" si="4"/>
        <v>1.3332642926911083E-2</v>
      </c>
      <c r="F80" t="s">
        <v>22</v>
      </c>
    </row>
    <row r="81" spans="1:6" hidden="1" x14ac:dyDescent="0.25">
      <c r="A81">
        <v>20076</v>
      </c>
      <c r="B81">
        <v>3</v>
      </c>
      <c r="C81" s="7">
        <v>98.060289999999995</v>
      </c>
      <c r="D81">
        <v>12</v>
      </c>
      <c r="E81" s="3">
        <f t="shared" si="4"/>
        <v>4.4362377355309193E-2</v>
      </c>
      <c r="F81" t="s">
        <v>22</v>
      </c>
    </row>
    <row r="82" spans="1:6" hidden="1" x14ac:dyDescent="0.25">
      <c r="A82">
        <v>20037</v>
      </c>
      <c r="B82">
        <v>2</v>
      </c>
      <c r="C82" s="7">
        <v>95.861346666666606</v>
      </c>
      <c r="D82">
        <v>12</v>
      </c>
      <c r="E82" s="3">
        <f t="shared" si="4"/>
        <v>9.5841953494639563E-3</v>
      </c>
      <c r="F82" t="s">
        <v>22</v>
      </c>
    </row>
    <row r="83" spans="1:6" hidden="1" x14ac:dyDescent="0.25">
      <c r="A83">
        <v>20112</v>
      </c>
      <c r="B83">
        <v>6</v>
      </c>
      <c r="C83" s="7">
        <v>95.759546666666594</v>
      </c>
      <c r="D83">
        <v>12</v>
      </c>
      <c r="E83" s="3">
        <f t="shared" si="4"/>
        <v>1.8331790290802483E-2</v>
      </c>
      <c r="F83" t="s">
        <v>22</v>
      </c>
    </row>
    <row r="84" spans="1:6" hidden="1" x14ac:dyDescent="0.25">
      <c r="A84">
        <v>20067</v>
      </c>
      <c r="B84">
        <v>2</v>
      </c>
      <c r="C84" s="7">
        <v>95.694146666666597</v>
      </c>
      <c r="D84">
        <v>12</v>
      </c>
      <c r="E84" s="3">
        <f t="shared" si="4"/>
        <v>9.5674787319934892E-3</v>
      </c>
      <c r="F84" t="s">
        <v>22</v>
      </c>
    </row>
    <row r="85" spans="1:6" hidden="1" x14ac:dyDescent="0.25">
      <c r="A85">
        <v>20093</v>
      </c>
      <c r="B85">
        <v>7</v>
      </c>
      <c r="C85" s="7">
        <v>95.536349999999999</v>
      </c>
      <c r="D85">
        <v>12</v>
      </c>
      <c r="E85" s="3">
        <f t="shared" si="4"/>
        <v>1.2903657583016889E-2</v>
      </c>
      <c r="F85" t="s">
        <v>22</v>
      </c>
    </row>
    <row r="86" spans="1:6" hidden="1" x14ac:dyDescent="0.25">
      <c r="A86">
        <v>20030</v>
      </c>
      <c r="B86">
        <v>3</v>
      </c>
      <c r="C86" s="7">
        <v>95.155666666666605</v>
      </c>
      <c r="D86">
        <v>12</v>
      </c>
      <c r="E86" s="3">
        <f t="shared" si="4"/>
        <v>4.3048328657427797E-2</v>
      </c>
      <c r="F86" t="s">
        <v>22</v>
      </c>
    </row>
    <row r="87" spans="1:6" hidden="1" x14ac:dyDescent="0.25">
      <c r="A87">
        <v>20080</v>
      </c>
      <c r="B87">
        <v>6</v>
      </c>
      <c r="C87" s="7">
        <v>92.091246666666606</v>
      </c>
      <c r="D87">
        <v>12</v>
      </c>
      <c r="E87" s="3">
        <f t="shared" si="4"/>
        <v>1.7629546925367268E-2</v>
      </c>
      <c r="F87" t="s">
        <v>22</v>
      </c>
    </row>
    <row r="88" spans="1:6" hidden="1" x14ac:dyDescent="0.25">
      <c r="A88">
        <v>20091</v>
      </c>
      <c r="B88">
        <v>2</v>
      </c>
      <c r="C88" s="7">
        <v>91.349483333333296</v>
      </c>
      <c r="D88">
        <v>12</v>
      </c>
      <c r="E88" s="3">
        <f t="shared" si="4"/>
        <v>9.1331002931101662E-3</v>
      </c>
    </row>
    <row r="89" spans="1:6" hidden="1" x14ac:dyDescent="0.25">
      <c r="A89">
        <v>20107</v>
      </c>
      <c r="B89">
        <v>7</v>
      </c>
      <c r="C89" s="7">
        <v>90.373106666666601</v>
      </c>
      <c r="D89">
        <v>12</v>
      </c>
      <c r="E89" s="3">
        <f t="shared" si="4"/>
        <v>1.2206281934992562E-2</v>
      </c>
      <c r="F89" t="s">
        <v>22</v>
      </c>
    </row>
    <row r="90" spans="1:6" hidden="1" x14ac:dyDescent="0.25">
      <c r="A90">
        <v>20074</v>
      </c>
      <c r="B90">
        <v>2</v>
      </c>
      <c r="C90" s="7">
        <v>90.003083333333294</v>
      </c>
      <c r="D90">
        <v>12</v>
      </c>
      <c r="E90" s="3">
        <f t="shared" si="4"/>
        <v>8.9984875313743103E-3</v>
      </c>
    </row>
    <row r="91" spans="1:6" hidden="1" x14ac:dyDescent="0.25">
      <c r="A91">
        <v>20101</v>
      </c>
      <c r="B91">
        <v>7</v>
      </c>
      <c r="C91" s="7">
        <v>89.503049999999902</v>
      </c>
      <c r="D91">
        <v>12</v>
      </c>
      <c r="E91" s="3">
        <f t="shared" si="4"/>
        <v>1.2088767362743485E-2</v>
      </c>
      <c r="F91" t="s">
        <v>22</v>
      </c>
    </row>
    <row r="92" spans="1:6" hidden="1" x14ac:dyDescent="0.25">
      <c r="A92">
        <v>20095</v>
      </c>
      <c r="B92">
        <v>7</v>
      </c>
      <c r="C92" s="7">
        <v>87.485189999999903</v>
      </c>
      <c r="D92">
        <v>12</v>
      </c>
      <c r="E92" s="3">
        <f t="shared" si="4"/>
        <v>1.1816224247055409E-2</v>
      </c>
      <c r="F92" t="s">
        <v>22</v>
      </c>
    </row>
    <row r="93" spans="1:6" hidden="1" x14ac:dyDescent="0.25">
      <c r="A93">
        <v>20213</v>
      </c>
      <c r="B93">
        <v>6</v>
      </c>
      <c r="C93" s="7">
        <v>87.258369999999999</v>
      </c>
      <c r="D93">
        <v>0</v>
      </c>
      <c r="E93" s="3">
        <f t="shared" si="4"/>
        <v>1.6704362078126502E-2</v>
      </c>
    </row>
    <row r="94" spans="1:6" hidden="1" x14ac:dyDescent="0.25">
      <c r="A94">
        <v>20170</v>
      </c>
      <c r="B94">
        <v>2</v>
      </c>
      <c r="C94" s="7">
        <v>85.626719999999906</v>
      </c>
      <c r="D94">
        <v>8</v>
      </c>
      <c r="E94" s="3">
        <f t="shared" si="4"/>
        <v>8.5609397337959216E-3</v>
      </c>
    </row>
    <row r="95" spans="1:6" hidden="1" x14ac:dyDescent="0.25">
      <c r="A95">
        <v>20087</v>
      </c>
      <c r="B95">
        <v>2</v>
      </c>
      <c r="C95" s="7">
        <v>83.850666666666598</v>
      </c>
      <c r="D95">
        <v>12</v>
      </c>
      <c r="E95" s="3">
        <f t="shared" si="4"/>
        <v>8.3833703308026294E-3</v>
      </c>
    </row>
    <row r="96" spans="1:6" hidden="1" x14ac:dyDescent="0.25">
      <c r="A96">
        <v>20159</v>
      </c>
      <c r="B96">
        <v>4</v>
      </c>
      <c r="C96" s="7">
        <v>82.258390000000006</v>
      </c>
      <c r="D96">
        <v>8</v>
      </c>
      <c r="E96" s="3">
        <f t="shared" si="4"/>
        <v>2.2033708530263239E-2</v>
      </c>
    </row>
    <row r="97" spans="1:6" hidden="1" x14ac:dyDescent="0.25">
      <c r="A97">
        <v>20111</v>
      </c>
      <c r="B97">
        <v>4</v>
      </c>
      <c r="C97" s="7">
        <v>81.662806666666597</v>
      </c>
      <c r="D97">
        <v>12</v>
      </c>
      <c r="E97" s="3">
        <f t="shared" si="4"/>
        <v>2.1874175751027576E-2</v>
      </c>
      <c r="F97" t="s">
        <v>22</v>
      </c>
    </row>
    <row r="98" spans="1:6" hidden="1" x14ac:dyDescent="0.25">
      <c r="A98">
        <v>20120</v>
      </c>
      <c r="B98">
        <v>7</v>
      </c>
      <c r="C98" s="7">
        <v>79.741110000000006</v>
      </c>
      <c r="D98">
        <v>12</v>
      </c>
      <c r="E98" s="3">
        <f t="shared" si="4"/>
        <v>1.0770266801376481E-2</v>
      </c>
      <c r="F98" t="s">
        <v>22</v>
      </c>
    </row>
    <row r="99" spans="1:6" hidden="1" x14ac:dyDescent="0.25">
      <c r="A99">
        <v>20106</v>
      </c>
      <c r="B99">
        <v>7</v>
      </c>
      <c r="C99" s="7">
        <v>78.042509999999993</v>
      </c>
      <c r="D99">
        <v>12</v>
      </c>
      <c r="E99" s="3">
        <f t="shared" si="4"/>
        <v>1.0540844672830512E-2</v>
      </c>
      <c r="F99" t="s">
        <v>22</v>
      </c>
    </row>
    <row r="100" spans="1:6" x14ac:dyDescent="0.25">
      <c r="A100">
        <v>20145</v>
      </c>
      <c r="B100">
        <v>0</v>
      </c>
      <c r="C100" s="7">
        <v>77.097086666666598</v>
      </c>
      <c r="D100">
        <v>12</v>
      </c>
      <c r="E100" s="3">
        <f t="shared" si="4"/>
        <v>0.1853682724723244</v>
      </c>
    </row>
    <row r="101" spans="1:6" hidden="1" x14ac:dyDescent="0.25">
      <c r="A101">
        <v>20119</v>
      </c>
      <c r="B101">
        <v>7</v>
      </c>
      <c r="C101" s="7">
        <v>76.561813333333305</v>
      </c>
      <c r="D101">
        <v>12</v>
      </c>
      <c r="E101" s="3">
        <f t="shared" si="4"/>
        <v>1.0340853750307499E-2</v>
      </c>
      <c r="F101" t="s">
        <v>22</v>
      </c>
    </row>
    <row r="102" spans="1:6" hidden="1" x14ac:dyDescent="0.25">
      <c r="A102">
        <v>20108</v>
      </c>
      <c r="B102">
        <v>7</v>
      </c>
      <c r="C102" s="7">
        <v>76.238336666666598</v>
      </c>
      <c r="D102">
        <v>12</v>
      </c>
      <c r="E102" s="3">
        <f t="shared" si="4"/>
        <v>1.0297163237295825E-2</v>
      </c>
      <c r="F102" t="s">
        <v>22</v>
      </c>
    </row>
    <row r="103" spans="1:6" hidden="1" x14ac:dyDescent="0.25">
      <c r="A103">
        <v>20077</v>
      </c>
      <c r="B103">
        <v>2</v>
      </c>
      <c r="C103" s="7">
        <v>75.815373333333298</v>
      </c>
      <c r="D103">
        <v>12</v>
      </c>
      <c r="E103" s="3">
        <f t="shared" si="4"/>
        <v>7.5800035549873392E-3</v>
      </c>
    </row>
    <row r="104" spans="1:6" hidden="1" x14ac:dyDescent="0.25">
      <c r="A104">
        <v>20122</v>
      </c>
      <c r="B104">
        <v>1</v>
      </c>
      <c r="C104" s="7">
        <v>75.720150000000004</v>
      </c>
      <c r="D104">
        <v>12</v>
      </c>
      <c r="E104" s="3">
        <f t="shared" si="4"/>
        <v>4.6059673221783705E-2</v>
      </c>
      <c r="F104" t="s">
        <v>22</v>
      </c>
    </row>
    <row r="105" spans="1:6" hidden="1" x14ac:dyDescent="0.25">
      <c r="A105">
        <v>20103</v>
      </c>
      <c r="B105">
        <v>2</v>
      </c>
      <c r="C105" s="7">
        <v>74.899249999999995</v>
      </c>
      <c r="D105">
        <v>12</v>
      </c>
      <c r="E105" s="3">
        <f t="shared" si="4"/>
        <v>7.4884097552319513E-3</v>
      </c>
    </row>
    <row r="106" spans="1:6" hidden="1" x14ac:dyDescent="0.25">
      <c r="A106">
        <v>20158</v>
      </c>
      <c r="B106">
        <v>7</v>
      </c>
      <c r="C106" s="7">
        <v>72.45966</v>
      </c>
      <c r="D106">
        <v>12</v>
      </c>
      <c r="E106" s="3">
        <f t="shared" si="4"/>
        <v>9.7867946726227818E-3</v>
      </c>
      <c r="F106" t="s">
        <v>22</v>
      </c>
    </row>
    <row r="107" spans="1:6" hidden="1" x14ac:dyDescent="0.25">
      <c r="A107">
        <v>20153</v>
      </c>
      <c r="B107">
        <v>7</v>
      </c>
      <c r="C107" s="7">
        <v>70.222570000000005</v>
      </c>
      <c r="D107">
        <v>12</v>
      </c>
      <c r="E107" s="3">
        <f t="shared" si="4"/>
        <v>9.4846411641164273E-3</v>
      </c>
      <c r="F107" t="s">
        <v>22</v>
      </c>
    </row>
    <row r="108" spans="1:6" hidden="1" x14ac:dyDescent="0.25">
      <c r="A108">
        <v>20157</v>
      </c>
      <c r="B108">
        <v>7</v>
      </c>
      <c r="C108" s="7">
        <v>70.173163333333306</v>
      </c>
      <c r="D108">
        <v>12</v>
      </c>
      <c r="E108" s="3">
        <f t="shared" si="4"/>
        <v>9.4779680317538719E-3</v>
      </c>
      <c r="F108" t="s">
        <v>22</v>
      </c>
    </row>
    <row r="109" spans="1:6" hidden="1" x14ac:dyDescent="0.25">
      <c r="A109">
        <v>20123</v>
      </c>
      <c r="B109">
        <v>7</v>
      </c>
      <c r="C109" s="7">
        <v>69.650490000000005</v>
      </c>
      <c r="D109">
        <v>12</v>
      </c>
      <c r="E109" s="3">
        <f t="shared" si="4"/>
        <v>9.4073729365769364E-3</v>
      </c>
      <c r="F109" t="s">
        <v>22</v>
      </c>
    </row>
    <row r="110" spans="1:6" hidden="1" x14ac:dyDescent="0.25">
      <c r="A110">
        <v>20134</v>
      </c>
      <c r="B110">
        <v>7</v>
      </c>
      <c r="C110" s="7">
        <v>69.235529999999997</v>
      </c>
      <c r="D110">
        <v>12</v>
      </c>
      <c r="E110" s="3">
        <f t="shared" si="4"/>
        <v>9.351326188395237E-3</v>
      </c>
      <c r="F110" t="s">
        <v>22</v>
      </c>
    </row>
    <row r="111" spans="1:6" hidden="1" x14ac:dyDescent="0.25">
      <c r="A111">
        <v>20125</v>
      </c>
      <c r="B111">
        <v>7</v>
      </c>
      <c r="C111" s="7">
        <v>69.014399999999995</v>
      </c>
      <c r="D111">
        <v>12</v>
      </c>
      <c r="E111" s="3">
        <f t="shared" si="4"/>
        <v>9.3214591712720944E-3</v>
      </c>
      <c r="F111" t="s">
        <v>22</v>
      </c>
    </row>
    <row r="112" spans="1:6" hidden="1" x14ac:dyDescent="0.25">
      <c r="A112">
        <v>20118</v>
      </c>
      <c r="B112">
        <v>2</v>
      </c>
      <c r="C112" s="7">
        <v>67.419449999999998</v>
      </c>
      <c r="D112">
        <v>12</v>
      </c>
      <c r="E112" s="3">
        <f t="shared" si="4"/>
        <v>6.7405810748755535E-3</v>
      </c>
    </row>
    <row r="113" spans="1:6" hidden="1" x14ac:dyDescent="0.25">
      <c r="A113">
        <v>20257</v>
      </c>
      <c r="B113">
        <v>6</v>
      </c>
      <c r="C113" s="7">
        <v>66.993973333333301</v>
      </c>
      <c r="D113">
        <v>0</v>
      </c>
      <c r="E113" s="3">
        <f t="shared" si="4"/>
        <v>1.2825034293126848E-2</v>
      </c>
    </row>
    <row r="114" spans="1:6" hidden="1" x14ac:dyDescent="0.25">
      <c r="A114">
        <v>20132</v>
      </c>
      <c r="B114">
        <v>7</v>
      </c>
      <c r="C114" s="7">
        <v>66.828490000000002</v>
      </c>
      <c r="D114">
        <v>12</v>
      </c>
      <c r="E114" s="3">
        <f t="shared" si="4"/>
        <v>9.02621831114616E-3</v>
      </c>
      <c r="F114" t="s">
        <v>22</v>
      </c>
    </row>
    <row r="115" spans="1:6" hidden="1" x14ac:dyDescent="0.25">
      <c r="A115">
        <v>20155</v>
      </c>
      <c r="B115">
        <v>7</v>
      </c>
      <c r="C115" s="7">
        <v>66.592303333333305</v>
      </c>
      <c r="D115">
        <v>12</v>
      </c>
      <c r="E115" s="3">
        <f t="shared" si="4"/>
        <v>8.9943176589615068E-3</v>
      </c>
      <c r="F115" t="s">
        <v>22</v>
      </c>
    </row>
    <row r="116" spans="1:6" hidden="1" x14ac:dyDescent="0.25">
      <c r="A116">
        <v>20164</v>
      </c>
      <c r="B116">
        <v>1</v>
      </c>
      <c r="C116" s="7">
        <v>66.499766666666602</v>
      </c>
      <c r="D116">
        <v>12</v>
      </c>
      <c r="E116" s="3">
        <f t="shared" si="4"/>
        <v>4.0451022904623511E-2</v>
      </c>
      <c r="F116" t="s">
        <v>22</v>
      </c>
    </row>
    <row r="117" spans="1:6" hidden="1" x14ac:dyDescent="0.25">
      <c r="A117">
        <v>20140</v>
      </c>
      <c r="B117">
        <v>4</v>
      </c>
      <c r="C117" s="7">
        <v>66.388140000000007</v>
      </c>
      <c r="D117">
        <v>12</v>
      </c>
      <c r="E117" s="3">
        <f t="shared" si="4"/>
        <v>1.7782707959957764E-2</v>
      </c>
      <c r="F117" t="s">
        <v>22</v>
      </c>
    </row>
    <row r="118" spans="1:6" hidden="1" x14ac:dyDescent="0.25">
      <c r="A118">
        <v>20099</v>
      </c>
      <c r="B118">
        <v>2</v>
      </c>
      <c r="C118" s="7">
        <v>66.377049999999997</v>
      </c>
      <c r="D118">
        <v>12</v>
      </c>
      <c r="E118" s="3">
        <f t="shared" si="4"/>
        <v>6.6363621630859994E-3</v>
      </c>
    </row>
    <row r="119" spans="1:6" hidden="1" x14ac:dyDescent="0.25">
      <c r="A119">
        <v>20082</v>
      </c>
      <c r="B119">
        <v>1</v>
      </c>
      <c r="C119" s="7">
        <v>65.254293333333294</v>
      </c>
      <c r="D119">
        <v>12</v>
      </c>
      <c r="E119" s="3">
        <f t="shared" si="4"/>
        <v>3.969341618118493E-2</v>
      </c>
      <c r="F119" t="s">
        <v>22</v>
      </c>
    </row>
    <row r="120" spans="1:6" hidden="1" x14ac:dyDescent="0.25">
      <c r="A120">
        <v>20092</v>
      </c>
      <c r="B120">
        <v>2</v>
      </c>
      <c r="C120" s="7">
        <v>64.791089999999997</v>
      </c>
      <c r="D120">
        <v>12</v>
      </c>
      <c r="E120" s="3">
        <f t="shared" si="4"/>
        <v>6.4777982477543013E-3</v>
      </c>
    </row>
    <row r="121" spans="1:6" hidden="1" x14ac:dyDescent="0.25">
      <c r="A121">
        <v>20072</v>
      </c>
      <c r="B121">
        <v>2</v>
      </c>
      <c r="C121" s="7">
        <v>64.056719999999999</v>
      </c>
      <c r="D121">
        <v>12</v>
      </c>
      <c r="E121" s="3">
        <f t="shared" si="4"/>
        <v>6.4043761043823758E-3</v>
      </c>
    </row>
    <row r="122" spans="1:6" hidden="1" x14ac:dyDescent="0.25">
      <c r="A122">
        <v>20236</v>
      </c>
      <c r="B122">
        <v>6</v>
      </c>
      <c r="C122" s="7">
        <v>62.780560000000001</v>
      </c>
      <c r="D122">
        <v>0</v>
      </c>
      <c r="E122" s="3">
        <f t="shared" si="4"/>
        <v>1.2018436806779059E-2</v>
      </c>
    </row>
    <row r="123" spans="1:6" hidden="1" x14ac:dyDescent="0.25">
      <c r="A123">
        <v>20129</v>
      </c>
      <c r="B123">
        <v>2</v>
      </c>
      <c r="C123" s="7">
        <v>62.505839999999999</v>
      </c>
      <c r="D123">
        <v>12</v>
      </c>
      <c r="E123" s="3">
        <f t="shared" si="4"/>
        <v>6.2493194793668497E-3</v>
      </c>
    </row>
    <row r="124" spans="1:6" hidden="1" x14ac:dyDescent="0.25">
      <c r="A124">
        <v>20139</v>
      </c>
      <c r="B124">
        <v>4</v>
      </c>
      <c r="C124" s="7">
        <v>62.486969999999999</v>
      </c>
      <c r="D124">
        <v>12</v>
      </c>
      <c r="E124" s="3">
        <f t="shared" si="4"/>
        <v>1.6737741693209688E-2</v>
      </c>
      <c r="F124" t="s">
        <v>22</v>
      </c>
    </row>
    <row r="125" spans="1:6" hidden="1" x14ac:dyDescent="0.25">
      <c r="A125">
        <v>20148</v>
      </c>
      <c r="B125">
        <v>2</v>
      </c>
      <c r="C125" s="7">
        <v>60.984609999999897</v>
      </c>
      <c r="D125">
        <v>12</v>
      </c>
      <c r="E125" s="3">
        <f t="shared" si="4"/>
        <v>6.0972272545187743E-3</v>
      </c>
    </row>
    <row r="126" spans="1:6" hidden="1" x14ac:dyDescent="0.25">
      <c r="A126">
        <v>20114</v>
      </c>
      <c r="B126">
        <v>2</v>
      </c>
      <c r="C126" s="7">
        <v>60.223799999999898</v>
      </c>
      <c r="D126">
        <v>12</v>
      </c>
      <c r="E126" s="3">
        <f t="shared" si="4"/>
        <v>6.0211616460396772E-3</v>
      </c>
    </row>
    <row r="127" spans="1:6" hidden="1" x14ac:dyDescent="0.25">
      <c r="A127">
        <v>20133</v>
      </c>
      <c r="B127">
        <v>7</v>
      </c>
      <c r="C127" s="7">
        <v>59.918039999999998</v>
      </c>
      <c r="D127">
        <v>12</v>
      </c>
      <c r="E127" s="3">
        <f t="shared" si="4"/>
        <v>8.0928554545522131E-3</v>
      </c>
      <c r="F127" t="s">
        <v>22</v>
      </c>
    </row>
    <row r="128" spans="1:6" hidden="1" x14ac:dyDescent="0.25">
      <c r="A128">
        <v>20096</v>
      </c>
      <c r="B128">
        <v>2</v>
      </c>
      <c r="C128" s="7">
        <v>58.955689999999997</v>
      </c>
      <c r="D128">
        <v>12</v>
      </c>
      <c r="E128" s="3">
        <f t="shared" si="4"/>
        <v>5.8943763004626988E-3</v>
      </c>
    </row>
    <row r="129" spans="1:6" hidden="1" x14ac:dyDescent="0.25">
      <c r="A129">
        <v>20161</v>
      </c>
      <c r="B129">
        <v>3</v>
      </c>
      <c r="C129" s="7">
        <v>57.066063333333297</v>
      </c>
      <c r="D129">
        <v>12</v>
      </c>
      <c r="E129" s="3">
        <f t="shared" si="4"/>
        <v>2.5816630113732128E-2</v>
      </c>
      <c r="F129" t="s">
        <v>22</v>
      </c>
    </row>
    <row r="130" spans="1:6" hidden="1" x14ac:dyDescent="0.25">
      <c r="A130">
        <v>20227</v>
      </c>
      <c r="B130">
        <v>6</v>
      </c>
      <c r="C130" s="7">
        <v>56.879913333333299</v>
      </c>
      <c r="D130">
        <v>12</v>
      </c>
      <c r="E130" s="3">
        <f t="shared" si="4"/>
        <v>1.0888842724112939E-2</v>
      </c>
      <c r="F130" t="s">
        <v>22</v>
      </c>
    </row>
    <row r="131" spans="1:6" hidden="1" x14ac:dyDescent="0.25">
      <c r="A131">
        <v>20162</v>
      </c>
      <c r="B131">
        <v>6</v>
      </c>
      <c r="C131" s="7">
        <v>56.823706666666602</v>
      </c>
      <c r="D131">
        <v>12</v>
      </c>
      <c r="E131" s="3">
        <f t="shared" ref="E131:E194" si="5">$C131/SUMIF($B$2:$B$781,B131,$C$2:$C$781)</f>
        <v>1.0878082764796657E-2</v>
      </c>
      <c r="F131" t="s">
        <v>22</v>
      </c>
    </row>
    <row r="132" spans="1:6" hidden="1" x14ac:dyDescent="0.25">
      <c r="A132">
        <v>20261</v>
      </c>
      <c r="B132">
        <v>6</v>
      </c>
      <c r="C132" s="7">
        <v>55.971089999999997</v>
      </c>
      <c r="D132">
        <v>0</v>
      </c>
      <c r="E132" s="3">
        <f t="shared" si="5"/>
        <v>1.0714861545859789E-2</v>
      </c>
    </row>
    <row r="133" spans="1:6" hidden="1" x14ac:dyDescent="0.25">
      <c r="A133">
        <v>20086</v>
      </c>
      <c r="B133">
        <v>2</v>
      </c>
      <c r="C133" s="7">
        <v>54.668999999999997</v>
      </c>
      <c r="D133">
        <v>12</v>
      </c>
      <c r="E133" s="3">
        <f t="shared" si="5"/>
        <v>5.4657940220866775E-3</v>
      </c>
    </row>
    <row r="134" spans="1:6" hidden="1" x14ac:dyDescent="0.25">
      <c r="A134">
        <v>20144</v>
      </c>
      <c r="B134">
        <v>2</v>
      </c>
      <c r="C134" s="7">
        <v>54.610953333333299</v>
      </c>
      <c r="D134">
        <v>12</v>
      </c>
      <c r="E134" s="3">
        <f t="shared" si="5"/>
        <v>5.4599905297296027E-3</v>
      </c>
    </row>
    <row r="135" spans="1:6" hidden="1" x14ac:dyDescent="0.25">
      <c r="A135">
        <v>20097</v>
      </c>
      <c r="B135">
        <v>2</v>
      </c>
      <c r="C135" s="7">
        <v>53.213563333333298</v>
      </c>
      <c r="D135">
        <v>12</v>
      </c>
      <c r="E135" s="3">
        <f t="shared" si="5"/>
        <v>5.3202797995438719E-3</v>
      </c>
    </row>
    <row r="136" spans="1:6" hidden="1" x14ac:dyDescent="0.25">
      <c r="A136">
        <v>20203</v>
      </c>
      <c r="B136">
        <v>7</v>
      </c>
      <c r="C136" s="7">
        <v>52.916499999999999</v>
      </c>
      <c r="D136">
        <v>12</v>
      </c>
      <c r="E136" s="3">
        <f t="shared" si="5"/>
        <v>7.1471894885215227E-3</v>
      </c>
      <c r="F136" t="s">
        <v>22</v>
      </c>
    </row>
    <row r="137" spans="1:6" hidden="1" x14ac:dyDescent="0.25">
      <c r="A137">
        <v>20100</v>
      </c>
      <c r="B137">
        <v>2</v>
      </c>
      <c r="C137" s="7">
        <v>52.673766666666602</v>
      </c>
      <c r="D137">
        <v>12</v>
      </c>
      <c r="E137" s="3">
        <f t="shared" si="5"/>
        <v>5.266311053201171E-3</v>
      </c>
    </row>
    <row r="138" spans="1:6" hidden="1" x14ac:dyDescent="0.25">
      <c r="A138">
        <v>20124</v>
      </c>
      <c r="B138">
        <v>3</v>
      </c>
      <c r="C138" s="7">
        <v>52.4763533333333</v>
      </c>
      <c r="D138">
        <v>12</v>
      </c>
      <c r="E138" s="3">
        <f t="shared" si="5"/>
        <v>2.3740249889163793E-2</v>
      </c>
      <c r="F138" t="s">
        <v>22</v>
      </c>
    </row>
    <row r="139" spans="1:6" hidden="1" x14ac:dyDescent="0.25">
      <c r="A139">
        <v>20151</v>
      </c>
      <c r="B139">
        <v>7</v>
      </c>
      <c r="C139" s="7">
        <v>52.097589999999997</v>
      </c>
      <c r="D139">
        <v>12</v>
      </c>
      <c r="E139" s="3">
        <f t="shared" si="5"/>
        <v>7.036583062472083E-3</v>
      </c>
      <c r="F139" t="s">
        <v>22</v>
      </c>
    </row>
    <row r="140" spans="1:6" hidden="1" x14ac:dyDescent="0.25">
      <c r="A140">
        <v>20146</v>
      </c>
      <c r="B140">
        <v>5</v>
      </c>
      <c r="C140" s="7">
        <v>51.946440000000003</v>
      </c>
      <c r="D140">
        <v>12</v>
      </c>
      <c r="E140" s="3">
        <f t="shared" si="5"/>
        <v>0.52416438989053915</v>
      </c>
      <c r="F140" t="s">
        <v>22</v>
      </c>
    </row>
    <row r="141" spans="1:6" hidden="1" x14ac:dyDescent="0.25">
      <c r="A141">
        <v>20109</v>
      </c>
      <c r="B141">
        <v>2</v>
      </c>
      <c r="C141" s="7">
        <v>51.540626666666597</v>
      </c>
      <c r="D141">
        <v>12</v>
      </c>
      <c r="E141" s="3">
        <f t="shared" si="5"/>
        <v>5.1530199771217229E-3</v>
      </c>
    </row>
    <row r="142" spans="1:6" hidden="1" x14ac:dyDescent="0.25">
      <c r="A142">
        <v>20137</v>
      </c>
      <c r="B142">
        <v>2</v>
      </c>
      <c r="C142" s="7">
        <v>50.799569999999903</v>
      </c>
      <c r="D142">
        <v>12</v>
      </c>
      <c r="E142" s="3">
        <f t="shared" si="5"/>
        <v>5.0789293023573356E-3</v>
      </c>
    </row>
    <row r="143" spans="1:6" hidden="1" x14ac:dyDescent="0.25">
      <c r="A143">
        <v>20167</v>
      </c>
      <c r="B143">
        <v>7</v>
      </c>
      <c r="C143" s="7">
        <v>49.7122733333333</v>
      </c>
      <c r="D143">
        <v>12</v>
      </c>
      <c r="E143" s="3">
        <f t="shared" si="5"/>
        <v>6.7144092564419148E-3</v>
      </c>
      <c r="F143" t="s">
        <v>22</v>
      </c>
    </row>
    <row r="144" spans="1:6" hidden="1" x14ac:dyDescent="0.25">
      <c r="A144">
        <v>20286</v>
      </c>
      <c r="B144">
        <v>6</v>
      </c>
      <c r="C144" s="7">
        <v>47.802416666666602</v>
      </c>
      <c r="D144">
        <v>0</v>
      </c>
      <c r="E144" s="3">
        <f t="shared" si="5"/>
        <v>9.1510863222573138E-3</v>
      </c>
    </row>
    <row r="145" spans="1:6" hidden="1" x14ac:dyDescent="0.25">
      <c r="A145">
        <v>20117</v>
      </c>
      <c r="B145">
        <v>3</v>
      </c>
      <c r="C145" s="7">
        <v>47.408536666666599</v>
      </c>
      <c r="D145">
        <v>12</v>
      </c>
      <c r="E145" s="3">
        <f t="shared" si="5"/>
        <v>2.144757468563142E-2</v>
      </c>
      <c r="F145" t="s">
        <v>22</v>
      </c>
    </row>
    <row r="146" spans="1:6" hidden="1" x14ac:dyDescent="0.25">
      <c r="A146">
        <v>20090</v>
      </c>
      <c r="B146">
        <v>2</v>
      </c>
      <c r="C146" s="7">
        <v>46.920996666666603</v>
      </c>
      <c r="D146">
        <v>12</v>
      </c>
      <c r="E146" s="3">
        <f t="shared" si="5"/>
        <v>4.6911504342683286E-3</v>
      </c>
    </row>
    <row r="147" spans="1:6" hidden="1" x14ac:dyDescent="0.25">
      <c r="A147">
        <v>20235</v>
      </c>
      <c r="B147">
        <v>6</v>
      </c>
      <c r="C147" s="7">
        <v>46.804846666666599</v>
      </c>
      <c r="D147">
        <v>12</v>
      </c>
      <c r="E147" s="3">
        <f t="shared" si="5"/>
        <v>8.9601158688982063E-3</v>
      </c>
      <c r="F147" t="s">
        <v>22</v>
      </c>
    </row>
    <row r="148" spans="1:6" hidden="1" x14ac:dyDescent="0.25">
      <c r="A148">
        <v>20440</v>
      </c>
      <c r="B148">
        <v>6</v>
      </c>
      <c r="C148" s="7">
        <v>45.825386666666603</v>
      </c>
      <c r="D148">
        <v>0</v>
      </c>
      <c r="E148" s="3">
        <f t="shared" si="5"/>
        <v>8.7726123150151606E-3</v>
      </c>
    </row>
    <row r="149" spans="1:6" hidden="1" x14ac:dyDescent="0.25">
      <c r="A149">
        <v>20160</v>
      </c>
      <c r="B149">
        <v>2</v>
      </c>
      <c r="C149" s="7">
        <v>45.409973333333298</v>
      </c>
      <c r="D149">
        <v>12</v>
      </c>
      <c r="E149" s="3">
        <f t="shared" si="5"/>
        <v>4.5400786696015759E-3</v>
      </c>
    </row>
    <row r="150" spans="1:6" hidden="1" x14ac:dyDescent="0.25">
      <c r="A150">
        <v>20079</v>
      </c>
      <c r="B150">
        <v>2</v>
      </c>
      <c r="C150" s="7">
        <v>44.131853333333297</v>
      </c>
      <c r="D150">
        <v>12</v>
      </c>
      <c r="E150" s="3">
        <f t="shared" si="5"/>
        <v>4.4122925265312907E-3</v>
      </c>
    </row>
    <row r="151" spans="1:6" hidden="1" x14ac:dyDescent="0.25">
      <c r="A151">
        <v>20189</v>
      </c>
      <c r="B151">
        <v>5</v>
      </c>
      <c r="C151" s="7">
        <v>42.457023333333296</v>
      </c>
      <c r="D151">
        <v>12</v>
      </c>
      <c r="E151" s="3">
        <f t="shared" si="5"/>
        <v>0.42841164345593324</v>
      </c>
      <c r="F151" t="s">
        <v>22</v>
      </c>
    </row>
    <row r="152" spans="1:6" hidden="1" x14ac:dyDescent="0.25">
      <c r="A152">
        <v>20355</v>
      </c>
      <c r="B152">
        <v>6</v>
      </c>
      <c r="C152" s="7">
        <v>41.843816666666598</v>
      </c>
      <c r="D152">
        <v>0</v>
      </c>
      <c r="E152" s="3">
        <f t="shared" si="5"/>
        <v>8.0103979060202855E-3</v>
      </c>
    </row>
    <row r="153" spans="1:6" hidden="1" x14ac:dyDescent="0.25">
      <c r="A153">
        <v>20232</v>
      </c>
      <c r="B153">
        <v>7</v>
      </c>
      <c r="C153" s="7">
        <v>41.442309999999999</v>
      </c>
      <c r="D153">
        <v>12</v>
      </c>
      <c r="E153" s="3">
        <f t="shared" si="5"/>
        <v>5.5974231555762453E-3</v>
      </c>
      <c r="F153" t="s">
        <v>22</v>
      </c>
    </row>
    <row r="154" spans="1:6" hidden="1" x14ac:dyDescent="0.25">
      <c r="A154">
        <v>20166</v>
      </c>
      <c r="B154">
        <v>2</v>
      </c>
      <c r="C154" s="7">
        <v>41.229903333333297</v>
      </c>
      <c r="D154">
        <v>12</v>
      </c>
      <c r="E154" s="3">
        <f t="shared" si="5"/>
        <v>4.1221562342560634E-3</v>
      </c>
    </row>
    <row r="155" spans="1:6" hidden="1" x14ac:dyDescent="0.25">
      <c r="A155">
        <v>20138</v>
      </c>
      <c r="B155">
        <v>3</v>
      </c>
      <c r="C155" s="7">
        <v>40.659026666666598</v>
      </c>
      <c r="D155">
        <v>12</v>
      </c>
      <c r="E155" s="3">
        <f t="shared" si="5"/>
        <v>1.8394103096026362E-2</v>
      </c>
      <c r="F155" t="s">
        <v>22</v>
      </c>
    </row>
    <row r="156" spans="1:6" hidden="1" x14ac:dyDescent="0.25">
      <c r="A156">
        <v>20237</v>
      </c>
      <c r="B156">
        <v>2</v>
      </c>
      <c r="C156" s="7">
        <v>40.5289066666666</v>
      </c>
      <c r="D156">
        <v>10</v>
      </c>
      <c r="E156" s="3">
        <f t="shared" si="5"/>
        <v>4.052070749060257E-3</v>
      </c>
    </row>
    <row r="157" spans="1:6" hidden="1" x14ac:dyDescent="0.25">
      <c r="A157">
        <v>20181</v>
      </c>
      <c r="B157">
        <v>2</v>
      </c>
      <c r="C157" s="7">
        <v>40.425576666666601</v>
      </c>
      <c r="D157">
        <v>12</v>
      </c>
      <c r="E157" s="3">
        <f t="shared" si="5"/>
        <v>4.0417398394716015E-3</v>
      </c>
    </row>
    <row r="158" spans="1:6" hidden="1" x14ac:dyDescent="0.25">
      <c r="A158">
        <v>20142</v>
      </c>
      <c r="B158">
        <v>2</v>
      </c>
      <c r="C158" s="7">
        <v>40.0132366666666</v>
      </c>
      <c r="D158">
        <v>12</v>
      </c>
      <c r="E158" s="3">
        <f t="shared" si="5"/>
        <v>4.000514181291148E-3</v>
      </c>
    </row>
    <row r="159" spans="1:6" hidden="1" x14ac:dyDescent="0.25">
      <c r="A159">
        <v>20177</v>
      </c>
      <c r="B159">
        <v>2</v>
      </c>
      <c r="C159" s="7">
        <v>38.991976666666602</v>
      </c>
      <c r="D159">
        <v>12</v>
      </c>
      <c r="E159" s="3">
        <f t="shared" si="5"/>
        <v>3.898408841830096E-3</v>
      </c>
    </row>
    <row r="160" spans="1:6" hidden="1" x14ac:dyDescent="0.25">
      <c r="A160">
        <v>20102</v>
      </c>
      <c r="B160">
        <v>6</v>
      </c>
      <c r="C160" s="7">
        <v>38.400770000000001</v>
      </c>
      <c r="D160">
        <v>12</v>
      </c>
      <c r="E160" s="3">
        <f t="shared" si="5"/>
        <v>7.3512760570574251E-3</v>
      </c>
      <c r="F160" t="s">
        <v>22</v>
      </c>
    </row>
    <row r="161" spans="1:6" hidden="1" x14ac:dyDescent="0.25">
      <c r="A161">
        <v>20212</v>
      </c>
      <c r="B161">
        <v>7</v>
      </c>
      <c r="C161" s="7">
        <v>38.354979999999998</v>
      </c>
      <c r="D161">
        <v>12</v>
      </c>
      <c r="E161" s="3">
        <f t="shared" si="5"/>
        <v>5.1804316212987105E-3</v>
      </c>
    </row>
    <row r="162" spans="1:6" hidden="1" x14ac:dyDescent="0.25">
      <c r="A162">
        <v>20297</v>
      </c>
      <c r="B162">
        <v>6</v>
      </c>
      <c r="C162" s="7">
        <v>37.7918533333333</v>
      </c>
      <c r="D162">
        <v>12</v>
      </c>
      <c r="E162" s="3">
        <f t="shared" si="5"/>
        <v>7.234707704068406E-3</v>
      </c>
      <c r="F162" t="s">
        <v>22</v>
      </c>
    </row>
    <row r="163" spans="1:6" hidden="1" x14ac:dyDescent="0.25">
      <c r="A163">
        <v>20175</v>
      </c>
      <c r="B163">
        <v>3</v>
      </c>
      <c r="C163" s="7">
        <v>37.685426666666601</v>
      </c>
      <c r="D163">
        <v>12</v>
      </c>
      <c r="E163" s="3">
        <f t="shared" si="5"/>
        <v>1.7048849422967194E-2</v>
      </c>
      <c r="F163" t="s">
        <v>22</v>
      </c>
    </row>
    <row r="164" spans="1:6" hidden="1" x14ac:dyDescent="0.25">
      <c r="A164">
        <v>20180</v>
      </c>
      <c r="B164">
        <v>2</v>
      </c>
      <c r="C164" s="7">
        <v>37.038730000000001</v>
      </c>
      <c r="D164">
        <v>12</v>
      </c>
      <c r="E164" s="3">
        <f t="shared" si="5"/>
        <v>3.7031236902025371E-3</v>
      </c>
    </row>
    <row r="165" spans="1:6" hidden="1" x14ac:dyDescent="0.25">
      <c r="A165">
        <v>20176</v>
      </c>
      <c r="B165">
        <v>2</v>
      </c>
      <c r="C165" s="7">
        <v>36.939733333333301</v>
      </c>
      <c r="D165">
        <v>12</v>
      </c>
      <c r="E165" s="3">
        <f t="shared" si="5"/>
        <v>3.6932260262819722E-3</v>
      </c>
    </row>
    <row r="166" spans="1:6" x14ac:dyDescent="0.25">
      <c r="A166">
        <v>20266</v>
      </c>
      <c r="B166">
        <v>0</v>
      </c>
      <c r="C166" s="7">
        <v>36.480080000000001</v>
      </c>
      <c r="D166">
        <v>8</v>
      </c>
      <c r="E166" s="3">
        <f t="shared" si="5"/>
        <v>8.7710829314331176E-2</v>
      </c>
    </row>
    <row r="167" spans="1:6" hidden="1" x14ac:dyDescent="0.25">
      <c r="A167">
        <v>20184</v>
      </c>
      <c r="B167">
        <v>2</v>
      </c>
      <c r="C167" s="7">
        <v>36.432666666666599</v>
      </c>
      <c r="D167">
        <v>12</v>
      </c>
      <c r="E167" s="3">
        <f t="shared" si="5"/>
        <v>3.6425296177969757E-3</v>
      </c>
    </row>
    <row r="168" spans="1:6" hidden="1" x14ac:dyDescent="0.25">
      <c r="A168">
        <v>20306</v>
      </c>
      <c r="B168">
        <v>6</v>
      </c>
      <c r="C168" s="7">
        <v>36.369120000000002</v>
      </c>
      <c r="D168">
        <v>12</v>
      </c>
      <c r="E168" s="3">
        <f t="shared" si="5"/>
        <v>6.9623458350509208E-3</v>
      </c>
      <c r="F168" t="s">
        <v>22</v>
      </c>
    </row>
    <row r="169" spans="1:6" hidden="1" x14ac:dyDescent="0.25">
      <c r="A169">
        <v>20193</v>
      </c>
      <c r="B169">
        <v>2</v>
      </c>
      <c r="C169" s="7">
        <v>35.864366666666598</v>
      </c>
      <c r="D169">
        <v>12</v>
      </c>
      <c r="E169" s="3">
        <f t="shared" si="5"/>
        <v>3.5857111147559128E-3</v>
      </c>
    </row>
    <row r="170" spans="1:6" hidden="1" x14ac:dyDescent="0.25">
      <c r="A170">
        <v>20414</v>
      </c>
      <c r="B170">
        <v>6</v>
      </c>
      <c r="C170" s="7">
        <v>35.793693333333302</v>
      </c>
      <c r="D170">
        <v>0</v>
      </c>
      <c r="E170" s="3">
        <f t="shared" si="5"/>
        <v>6.8521886617114464E-3</v>
      </c>
    </row>
    <row r="171" spans="1:6" hidden="1" x14ac:dyDescent="0.25">
      <c r="A171">
        <v>20196</v>
      </c>
      <c r="B171">
        <v>2</v>
      </c>
      <c r="C171" s="7">
        <v>35.547633333333302</v>
      </c>
      <c r="D171">
        <v>12</v>
      </c>
      <c r="E171" s="3">
        <f t="shared" si="5"/>
        <v>3.5540441890772149E-3</v>
      </c>
    </row>
    <row r="172" spans="1:6" hidden="1" x14ac:dyDescent="0.25">
      <c r="A172">
        <v>20179</v>
      </c>
      <c r="B172">
        <v>2</v>
      </c>
      <c r="C172" s="7">
        <v>34.686876666666599</v>
      </c>
      <c r="D172">
        <v>12</v>
      </c>
      <c r="E172" s="3">
        <f t="shared" si="5"/>
        <v>3.4679859358964708E-3</v>
      </c>
    </row>
    <row r="173" spans="1:6" hidden="1" x14ac:dyDescent="0.25">
      <c r="A173">
        <v>20218</v>
      </c>
      <c r="B173">
        <v>7</v>
      </c>
      <c r="C173" s="7">
        <v>34.528486666666602</v>
      </c>
      <c r="D173">
        <v>12</v>
      </c>
      <c r="E173" s="3">
        <f t="shared" si="5"/>
        <v>4.6636046782866421E-3</v>
      </c>
    </row>
    <row r="174" spans="1:6" hidden="1" x14ac:dyDescent="0.25">
      <c r="A174">
        <v>20316</v>
      </c>
      <c r="B174">
        <v>6</v>
      </c>
      <c r="C174" s="7">
        <v>34.324276666666599</v>
      </c>
      <c r="D174">
        <v>12</v>
      </c>
      <c r="E174" s="3">
        <f t="shared" si="5"/>
        <v>6.5708899388080234E-3</v>
      </c>
    </row>
    <row r="175" spans="1:6" hidden="1" x14ac:dyDescent="0.25">
      <c r="A175">
        <v>20188</v>
      </c>
      <c r="B175">
        <v>2</v>
      </c>
      <c r="C175" s="7">
        <v>34.322906666666597</v>
      </c>
      <c r="D175">
        <v>12</v>
      </c>
      <c r="E175" s="3">
        <f t="shared" si="5"/>
        <v>3.4315962991696438E-3</v>
      </c>
    </row>
    <row r="176" spans="1:6" hidden="1" x14ac:dyDescent="0.25">
      <c r="A176">
        <v>20389</v>
      </c>
      <c r="B176">
        <v>4</v>
      </c>
      <c r="C176" s="7">
        <v>34.303706666666599</v>
      </c>
      <c r="D176">
        <v>8</v>
      </c>
      <c r="E176" s="3">
        <f t="shared" si="5"/>
        <v>9.1885809362544021E-3</v>
      </c>
    </row>
    <row r="177" spans="1:6" hidden="1" x14ac:dyDescent="0.25">
      <c r="A177">
        <v>20182</v>
      </c>
      <c r="B177">
        <v>2</v>
      </c>
      <c r="C177" s="7">
        <v>34.031350000000003</v>
      </c>
      <c r="D177">
        <v>12</v>
      </c>
      <c r="E177" s="3">
        <f t="shared" si="5"/>
        <v>3.4024465308225772E-3</v>
      </c>
    </row>
    <row r="178" spans="1:6" hidden="1" x14ac:dyDescent="0.25">
      <c r="A178">
        <v>20201</v>
      </c>
      <c r="B178">
        <v>6</v>
      </c>
      <c r="C178" s="7">
        <v>33.205190000000002</v>
      </c>
      <c r="D178">
        <v>12</v>
      </c>
      <c r="E178" s="3">
        <f t="shared" si="5"/>
        <v>6.3566568643556535E-3</v>
      </c>
    </row>
    <row r="179" spans="1:6" hidden="1" x14ac:dyDescent="0.25">
      <c r="A179">
        <v>20364</v>
      </c>
      <c r="B179">
        <v>7</v>
      </c>
      <c r="C179" s="7">
        <v>33.116073333333297</v>
      </c>
      <c r="D179">
        <v>8</v>
      </c>
      <c r="E179" s="3">
        <f t="shared" si="5"/>
        <v>4.4728364731058869E-3</v>
      </c>
    </row>
    <row r="180" spans="1:6" hidden="1" x14ac:dyDescent="0.25">
      <c r="A180">
        <v>20187</v>
      </c>
      <c r="B180">
        <v>2</v>
      </c>
      <c r="C180" s="7">
        <v>32.3991166666666</v>
      </c>
      <c r="D180">
        <v>12</v>
      </c>
      <c r="E180" s="3">
        <f t="shared" si="5"/>
        <v>3.2392562182874235E-3</v>
      </c>
    </row>
    <row r="181" spans="1:6" hidden="1" x14ac:dyDescent="0.25">
      <c r="A181">
        <v>20224</v>
      </c>
      <c r="B181">
        <v>2</v>
      </c>
      <c r="C181" s="7">
        <v>31.189340000000001</v>
      </c>
      <c r="D181">
        <v>12</v>
      </c>
      <c r="E181" s="3">
        <f t="shared" si="5"/>
        <v>3.1183030259347875E-3</v>
      </c>
    </row>
    <row r="182" spans="1:6" hidden="1" x14ac:dyDescent="0.25">
      <c r="A182">
        <v>20198</v>
      </c>
      <c r="B182">
        <v>3</v>
      </c>
      <c r="C182" s="7">
        <v>30.99333</v>
      </c>
      <c r="D182">
        <v>12</v>
      </c>
      <c r="E182" s="3">
        <f t="shared" si="5"/>
        <v>1.4021351568077406E-2</v>
      </c>
      <c r="F182" t="s">
        <v>22</v>
      </c>
    </row>
    <row r="183" spans="1:6" x14ac:dyDescent="0.25">
      <c r="A183">
        <v>20321</v>
      </c>
      <c r="B183">
        <v>0</v>
      </c>
      <c r="C183" s="7">
        <v>29.759163333333301</v>
      </c>
      <c r="D183">
        <v>12</v>
      </c>
      <c r="E183" s="3">
        <f t="shared" si="5"/>
        <v>7.1551402729031849E-2</v>
      </c>
    </row>
    <row r="184" spans="1:6" hidden="1" x14ac:dyDescent="0.25">
      <c r="A184">
        <v>20205</v>
      </c>
      <c r="B184">
        <v>2</v>
      </c>
      <c r="C184" s="7">
        <v>29.647880000000001</v>
      </c>
      <c r="D184">
        <v>12</v>
      </c>
      <c r="E184" s="3">
        <f t="shared" si="5"/>
        <v>2.9641882103485185E-3</v>
      </c>
    </row>
    <row r="185" spans="1:6" hidden="1" x14ac:dyDescent="0.25">
      <c r="A185">
        <v>20197</v>
      </c>
      <c r="B185">
        <v>6</v>
      </c>
      <c r="C185" s="7">
        <v>29.6274366666666</v>
      </c>
      <c r="D185">
        <v>12</v>
      </c>
      <c r="E185" s="3">
        <f t="shared" si="5"/>
        <v>5.6717473581819168E-3</v>
      </c>
    </row>
    <row r="186" spans="1:6" hidden="1" x14ac:dyDescent="0.25">
      <c r="A186">
        <v>20200</v>
      </c>
      <c r="B186">
        <v>3</v>
      </c>
      <c r="C186" s="7">
        <v>29.196466666666598</v>
      </c>
      <c r="D186">
        <v>12</v>
      </c>
      <c r="E186" s="3">
        <f t="shared" si="5"/>
        <v>1.3208452388916757E-2</v>
      </c>
      <c r="F186" t="s">
        <v>22</v>
      </c>
    </row>
    <row r="187" spans="1:6" hidden="1" x14ac:dyDescent="0.25">
      <c r="A187">
        <v>20152</v>
      </c>
      <c r="B187">
        <v>2</v>
      </c>
      <c r="C187" s="7">
        <v>28.4635866666666</v>
      </c>
      <c r="D187">
        <v>12</v>
      </c>
      <c r="E187" s="3">
        <f t="shared" si="5"/>
        <v>2.8457828357901622E-3</v>
      </c>
    </row>
    <row r="188" spans="1:6" hidden="1" x14ac:dyDescent="0.25">
      <c r="A188">
        <v>20323</v>
      </c>
      <c r="B188">
        <v>2</v>
      </c>
      <c r="C188" s="7">
        <v>28.139853333333299</v>
      </c>
      <c r="D188">
        <v>12</v>
      </c>
      <c r="E188" s="3">
        <f t="shared" si="5"/>
        <v>2.8134160517245426E-3</v>
      </c>
    </row>
    <row r="189" spans="1:6" hidden="1" x14ac:dyDescent="0.25">
      <c r="A189">
        <v>20202</v>
      </c>
      <c r="B189">
        <v>2</v>
      </c>
      <c r="C189" s="7">
        <v>28.057729999999999</v>
      </c>
      <c r="D189">
        <v>12</v>
      </c>
      <c r="E189" s="3">
        <f t="shared" si="5"/>
        <v>2.8052053797823634E-3</v>
      </c>
    </row>
    <row r="190" spans="1:6" hidden="1" x14ac:dyDescent="0.25">
      <c r="A190">
        <v>20192</v>
      </c>
      <c r="B190">
        <v>2</v>
      </c>
      <c r="C190" s="7">
        <v>27.13571</v>
      </c>
      <c r="D190">
        <v>11</v>
      </c>
      <c r="E190" s="3">
        <f t="shared" si="5"/>
        <v>2.7130220326524661E-3</v>
      </c>
    </row>
    <row r="191" spans="1:6" hidden="1" x14ac:dyDescent="0.25">
      <c r="A191">
        <v>20458</v>
      </c>
      <c r="B191">
        <v>6</v>
      </c>
      <c r="C191" s="7">
        <v>27.033993333333299</v>
      </c>
      <c r="D191">
        <v>0</v>
      </c>
      <c r="E191" s="3">
        <f t="shared" si="5"/>
        <v>5.1752698687547961E-3</v>
      </c>
    </row>
    <row r="192" spans="1:6" hidden="1" x14ac:dyDescent="0.25">
      <c r="A192">
        <v>20220</v>
      </c>
      <c r="B192">
        <v>2</v>
      </c>
      <c r="C192" s="7">
        <v>26.943166666666599</v>
      </c>
      <c r="D192">
        <v>12</v>
      </c>
      <c r="E192" s="3">
        <f t="shared" si="5"/>
        <v>2.6937715945554398E-3</v>
      </c>
    </row>
    <row r="193" spans="1:6" hidden="1" x14ac:dyDescent="0.25">
      <c r="A193">
        <v>20168</v>
      </c>
      <c r="B193">
        <v>2</v>
      </c>
      <c r="C193" s="7">
        <v>26.918399999999998</v>
      </c>
      <c r="D193">
        <v>12</v>
      </c>
      <c r="E193" s="3">
        <f t="shared" si="5"/>
        <v>2.6912954289293385E-3</v>
      </c>
    </row>
    <row r="194" spans="1:6" hidden="1" x14ac:dyDescent="0.25">
      <c r="A194">
        <v>20262</v>
      </c>
      <c r="B194">
        <v>1</v>
      </c>
      <c r="C194" s="7">
        <v>26.768723333333298</v>
      </c>
      <c r="D194">
        <v>9</v>
      </c>
      <c r="E194" s="3">
        <f t="shared" si="5"/>
        <v>1.6283098346974594E-2</v>
      </c>
    </row>
    <row r="195" spans="1:6" hidden="1" x14ac:dyDescent="0.25">
      <c r="A195">
        <v>20233</v>
      </c>
      <c r="B195">
        <v>2</v>
      </c>
      <c r="C195" s="7">
        <v>26.351209999999998</v>
      </c>
      <c r="D195">
        <v>12</v>
      </c>
      <c r="E195" s="3">
        <f t="shared" ref="E195:E258" si="6">$C195/SUMIF($B$2:$B$781,B195,$C$2:$C$781)</f>
        <v>2.6345879034324875E-3</v>
      </c>
    </row>
    <row r="196" spans="1:6" hidden="1" x14ac:dyDescent="0.25">
      <c r="A196">
        <v>20208</v>
      </c>
      <c r="B196">
        <v>2</v>
      </c>
      <c r="C196" s="7">
        <v>26.321773333333301</v>
      </c>
      <c r="D196">
        <v>12</v>
      </c>
      <c r="E196" s="3">
        <f t="shared" si="6"/>
        <v>2.6316448322825309E-3</v>
      </c>
    </row>
    <row r="197" spans="1:6" hidden="1" x14ac:dyDescent="0.25">
      <c r="A197">
        <v>20313</v>
      </c>
      <c r="B197">
        <v>1</v>
      </c>
      <c r="C197" s="7">
        <v>25.918620000000001</v>
      </c>
      <c r="D197">
        <v>12</v>
      </c>
      <c r="E197" s="3">
        <f t="shared" si="6"/>
        <v>1.576599052642642E-2</v>
      </c>
      <c r="F197" t="s">
        <v>22</v>
      </c>
    </row>
    <row r="198" spans="1:6" hidden="1" x14ac:dyDescent="0.25">
      <c r="A198">
        <v>20215</v>
      </c>
      <c r="B198">
        <v>3</v>
      </c>
      <c r="C198" s="7">
        <v>25.807956666666598</v>
      </c>
      <c r="D198">
        <v>12</v>
      </c>
      <c r="E198" s="3">
        <f t="shared" si="6"/>
        <v>1.1675493845838426E-2</v>
      </c>
      <c r="F198" t="s">
        <v>22</v>
      </c>
    </row>
    <row r="199" spans="1:6" hidden="1" x14ac:dyDescent="0.25">
      <c r="A199">
        <v>20206</v>
      </c>
      <c r="B199">
        <v>2</v>
      </c>
      <c r="C199" s="7">
        <v>25.68384</v>
      </c>
      <c r="D199">
        <v>12</v>
      </c>
      <c r="E199" s="3">
        <f t="shared" si="6"/>
        <v>2.5678644046210957E-3</v>
      </c>
    </row>
    <row r="200" spans="1:6" hidden="1" x14ac:dyDescent="0.25">
      <c r="A200">
        <v>20209</v>
      </c>
      <c r="B200">
        <v>2</v>
      </c>
      <c r="C200" s="7">
        <v>25.004149999999999</v>
      </c>
      <c r="D200">
        <v>12</v>
      </c>
      <c r="E200" s="3">
        <f t="shared" si="6"/>
        <v>2.4999091550487224E-3</v>
      </c>
    </row>
    <row r="201" spans="1:6" hidden="1" x14ac:dyDescent="0.25">
      <c r="A201">
        <v>20238</v>
      </c>
      <c r="B201">
        <v>2</v>
      </c>
      <c r="C201" s="7">
        <v>24.358139999999999</v>
      </c>
      <c r="D201">
        <v>12</v>
      </c>
      <c r="E201" s="3">
        <f t="shared" si="6"/>
        <v>2.435321224115136E-3</v>
      </c>
    </row>
    <row r="202" spans="1:6" hidden="1" x14ac:dyDescent="0.25">
      <c r="A202">
        <v>20219</v>
      </c>
      <c r="B202">
        <v>2</v>
      </c>
      <c r="C202" s="7">
        <v>23.762836666666601</v>
      </c>
      <c r="D202">
        <v>12</v>
      </c>
      <c r="E202" s="3">
        <f t="shared" si="6"/>
        <v>2.3758029340300428E-3</v>
      </c>
    </row>
    <row r="203" spans="1:6" hidden="1" x14ac:dyDescent="0.25">
      <c r="A203">
        <v>20231</v>
      </c>
      <c r="B203">
        <v>2</v>
      </c>
      <c r="C203" s="7">
        <v>23.604769999999998</v>
      </c>
      <c r="D203">
        <v>12</v>
      </c>
      <c r="E203" s="3">
        <f t="shared" si="6"/>
        <v>2.3599994651215669E-3</v>
      </c>
    </row>
    <row r="204" spans="1:6" hidden="1" x14ac:dyDescent="0.25">
      <c r="A204">
        <v>20222</v>
      </c>
      <c r="B204">
        <v>4</v>
      </c>
      <c r="C204" s="7">
        <v>23.204499999999999</v>
      </c>
      <c r="D204">
        <v>12</v>
      </c>
      <c r="E204" s="3">
        <f t="shared" si="6"/>
        <v>6.2155506519212603E-3</v>
      </c>
      <c r="F204" t="s">
        <v>22</v>
      </c>
    </row>
    <row r="205" spans="1:6" hidden="1" x14ac:dyDescent="0.25">
      <c r="A205">
        <v>20251</v>
      </c>
      <c r="B205">
        <v>2</v>
      </c>
      <c r="C205" s="7">
        <v>23.079336666666599</v>
      </c>
      <c r="D205">
        <v>12</v>
      </c>
      <c r="E205" s="3">
        <f t="shared" si="6"/>
        <v>2.3074667615356446E-3</v>
      </c>
    </row>
    <row r="206" spans="1:6" hidden="1" x14ac:dyDescent="0.25">
      <c r="A206">
        <v>20395</v>
      </c>
      <c r="B206">
        <v>1</v>
      </c>
      <c r="C206" s="7">
        <v>22.949646666666599</v>
      </c>
      <c r="D206">
        <v>10</v>
      </c>
      <c r="E206" s="3">
        <f t="shared" si="6"/>
        <v>1.3959999102247699E-2</v>
      </c>
    </row>
    <row r="207" spans="1:6" hidden="1" x14ac:dyDescent="0.25">
      <c r="A207">
        <v>20267</v>
      </c>
      <c r="B207">
        <v>4</v>
      </c>
      <c r="C207" s="7">
        <v>22.699929999999998</v>
      </c>
      <c r="D207">
        <v>12</v>
      </c>
      <c r="E207" s="3">
        <f t="shared" si="6"/>
        <v>6.0803966778024505E-3</v>
      </c>
      <c r="F207" t="s">
        <v>22</v>
      </c>
    </row>
    <row r="208" spans="1:6" hidden="1" x14ac:dyDescent="0.25">
      <c r="A208">
        <v>20442</v>
      </c>
      <c r="B208">
        <v>6</v>
      </c>
      <c r="C208" s="7">
        <v>22.598039999999902</v>
      </c>
      <c r="D208">
        <v>0</v>
      </c>
      <c r="E208" s="3">
        <f t="shared" si="6"/>
        <v>4.326070294643187E-3</v>
      </c>
    </row>
    <row r="209" spans="1:6" hidden="1" x14ac:dyDescent="0.25">
      <c r="A209">
        <v>20290</v>
      </c>
      <c r="B209">
        <v>7</v>
      </c>
      <c r="C209" s="7">
        <v>22.4533666666666</v>
      </c>
      <c r="D209">
        <v>12</v>
      </c>
      <c r="E209" s="3">
        <f t="shared" si="6"/>
        <v>3.0326734803306924E-3</v>
      </c>
    </row>
    <row r="210" spans="1:6" hidden="1" x14ac:dyDescent="0.25">
      <c r="A210">
        <v>20225</v>
      </c>
      <c r="B210">
        <v>2</v>
      </c>
      <c r="C210" s="7">
        <v>22.390513333333299</v>
      </c>
      <c r="D210">
        <v>12</v>
      </c>
      <c r="E210" s="3">
        <f t="shared" si="6"/>
        <v>2.2385983634012913E-3</v>
      </c>
    </row>
    <row r="211" spans="1:6" hidden="1" x14ac:dyDescent="0.25">
      <c r="A211">
        <v>20476</v>
      </c>
      <c r="B211">
        <v>6</v>
      </c>
      <c r="C211" s="7">
        <v>22.266449999999999</v>
      </c>
      <c r="D211">
        <v>0</v>
      </c>
      <c r="E211" s="3">
        <f t="shared" si="6"/>
        <v>4.2625921501226747E-3</v>
      </c>
    </row>
    <row r="212" spans="1:6" hidden="1" x14ac:dyDescent="0.25">
      <c r="A212">
        <v>20211</v>
      </c>
      <c r="B212">
        <v>2</v>
      </c>
      <c r="C212" s="7">
        <v>22.252093333333299</v>
      </c>
      <c r="D212">
        <v>12</v>
      </c>
      <c r="E212" s="3">
        <f t="shared" si="6"/>
        <v>2.2247591636987683E-3</v>
      </c>
    </row>
    <row r="213" spans="1:6" hidden="1" x14ac:dyDescent="0.25">
      <c r="A213">
        <v>20378</v>
      </c>
      <c r="B213">
        <v>7</v>
      </c>
      <c r="C213" s="7">
        <v>21.7274966666666</v>
      </c>
      <c r="D213">
        <v>9</v>
      </c>
      <c r="E213" s="3">
        <f t="shared" si="6"/>
        <v>2.9346335412940377E-3</v>
      </c>
    </row>
    <row r="214" spans="1:6" hidden="1" x14ac:dyDescent="0.25">
      <c r="A214">
        <v>20340</v>
      </c>
      <c r="B214">
        <v>7</v>
      </c>
      <c r="C214" s="7">
        <v>21.630803333333301</v>
      </c>
      <c r="D214">
        <v>12</v>
      </c>
      <c r="E214" s="3">
        <f t="shared" si="6"/>
        <v>2.9215736152669977E-3</v>
      </c>
    </row>
    <row r="215" spans="1:6" hidden="1" x14ac:dyDescent="0.25">
      <c r="A215">
        <v>20263</v>
      </c>
      <c r="B215">
        <v>4</v>
      </c>
      <c r="C215" s="7">
        <v>21.5160499999999</v>
      </c>
      <c r="D215">
        <v>12</v>
      </c>
      <c r="E215" s="3">
        <f t="shared" si="6"/>
        <v>5.7632829237548675E-3</v>
      </c>
      <c r="F215" t="s">
        <v>22</v>
      </c>
    </row>
    <row r="216" spans="1:6" hidden="1" x14ac:dyDescent="0.25">
      <c r="A216">
        <v>20244</v>
      </c>
      <c r="B216">
        <v>4</v>
      </c>
      <c r="C216" s="7">
        <v>21.514253333333301</v>
      </c>
      <c r="D216">
        <v>12</v>
      </c>
      <c r="E216" s="3">
        <f t="shared" si="6"/>
        <v>5.7628016691417157E-3</v>
      </c>
      <c r="F216" t="s">
        <v>22</v>
      </c>
    </row>
    <row r="217" spans="1:6" hidden="1" x14ac:dyDescent="0.25">
      <c r="A217">
        <v>20276</v>
      </c>
      <c r="B217">
        <v>2</v>
      </c>
      <c r="C217" s="7">
        <v>21.362466666666599</v>
      </c>
      <c r="D217">
        <v>12</v>
      </c>
      <c r="E217" s="3">
        <f t="shared" si="6"/>
        <v>2.1358144945708207E-3</v>
      </c>
    </row>
    <row r="218" spans="1:6" hidden="1" x14ac:dyDescent="0.25">
      <c r="A218">
        <v>20254</v>
      </c>
      <c r="B218">
        <v>2</v>
      </c>
      <c r="C218" s="7">
        <v>21.171413333333302</v>
      </c>
      <c r="D218">
        <v>12</v>
      </c>
      <c r="E218" s="3">
        <f t="shared" si="6"/>
        <v>2.1167130263304492E-3</v>
      </c>
    </row>
    <row r="219" spans="1:6" hidden="1" x14ac:dyDescent="0.25">
      <c r="A219">
        <v>20256</v>
      </c>
      <c r="B219">
        <v>7</v>
      </c>
      <c r="C219" s="7">
        <v>21.090886666666599</v>
      </c>
      <c r="D219">
        <v>12</v>
      </c>
      <c r="E219" s="3">
        <f t="shared" si="6"/>
        <v>2.8486495419689181E-3</v>
      </c>
    </row>
    <row r="220" spans="1:6" hidden="1" x14ac:dyDescent="0.25">
      <c r="A220">
        <v>20303</v>
      </c>
      <c r="B220">
        <v>1</v>
      </c>
      <c r="C220" s="7">
        <v>20.9285866666666</v>
      </c>
      <c r="D220">
        <v>12</v>
      </c>
      <c r="E220" s="3">
        <f t="shared" si="6"/>
        <v>1.2730612166780481E-2</v>
      </c>
      <c r="F220" t="s">
        <v>22</v>
      </c>
    </row>
    <row r="221" spans="1:6" hidden="1" x14ac:dyDescent="0.25">
      <c r="A221">
        <v>20230</v>
      </c>
      <c r="B221">
        <v>2</v>
      </c>
      <c r="C221" s="7">
        <v>20.9003433333333</v>
      </c>
      <c r="D221">
        <v>12</v>
      </c>
      <c r="E221" s="3">
        <f t="shared" si="6"/>
        <v>2.0896115101957653E-3</v>
      </c>
    </row>
    <row r="222" spans="1:6" hidden="1" x14ac:dyDescent="0.25">
      <c r="A222">
        <v>20246</v>
      </c>
      <c r="B222">
        <v>2</v>
      </c>
      <c r="C222" s="7">
        <v>20.346333333333298</v>
      </c>
      <c r="D222">
        <v>12</v>
      </c>
      <c r="E222" s="3">
        <f t="shared" si="6"/>
        <v>2.0342217180617178E-3</v>
      </c>
    </row>
    <row r="223" spans="1:6" hidden="1" x14ac:dyDescent="0.25">
      <c r="A223">
        <v>20459</v>
      </c>
      <c r="B223">
        <v>2</v>
      </c>
      <c r="C223" s="7">
        <v>20.3148433333333</v>
      </c>
      <c r="D223">
        <v>6</v>
      </c>
      <c r="E223" s="3">
        <f t="shared" si="6"/>
        <v>2.0310733551182673E-3</v>
      </c>
    </row>
    <row r="224" spans="1:6" hidden="1" x14ac:dyDescent="0.25">
      <c r="A224">
        <v>20337</v>
      </c>
      <c r="B224">
        <v>7</v>
      </c>
      <c r="C224" s="7">
        <v>20.294059999999899</v>
      </c>
      <c r="D224">
        <v>12</v>
      </c>
      <c r="E224" s="3">
        <f t="shared" si="6"/>
        <v>2.7410258106908879E-3</v>
      </c>
    </row>
    <row r="225" spans="1:6" hidden="1" x14ac:dyDescent="0.25">
      <c r="A225">
        <v>20351</v>
      </c>
      <c r="B225">
        <v>2</v>
      </c>
      <c r="C225" s="7">
        <v>20.243569999999998</v>
      </c>
      <c r="D225">
        <v>9</v>
      </c>
      <c r="E225" s="3">
        <f t="shared" si="6"/>
        <v>2.023947463675816E-3</v>
      </c>
    </row>
    <row r="226" spans="1:6" hidden="1" x14ac:dyDescent="0.25">
      <c r="A226">
        <v>20361</v>
      </c>
      <c r="B226">
        <v>2</v>
      </c>
      <c r="C226" s="7">
        <v>20.093446666666601</v>
      </c>
      <c r="D226">
        <v>12</v>
      </c>
      <c r="E226" s="3">
        <f t="shared" si="6"/>
        <v>2.0089381674035338E-3</v>
      </c>
    </row>
    <row r="227" spans="1:6" hidden="1" x14ac:dyDescent="0.25">
      <c r="A227">
        <v>20226</v>
      </c>
      <c r="B227">
        <v>2</v>
      </c>
      <c r="C227" s="7">
        <v>19.960533333333299</v>
      </c>
      <c r="D227">
        <v>12</v>
      </c>
      <c r="E227" s="3">
        <f t="shared" si="6"/>
        <v>1.9956495229653919E-3</v>
      </c>
    </row>
    <row r="228" spans="1:6" hidden="1" x14ac:dyDescent="0.25">
      <c r="A228">
        <v>20268</v>
      </c>
      <c r="B228">
        <v>2</v>
      </c>
      <c r="C228" s="7">
        <v>19.730720000000002</v>
      </c>
      <c r="D228">
        <v>12</v>
      </c>
      <c r="E228" s="3">
        <f t="shared" si="6"/>
        <v>1.9726728388568667E-3</v>
      </c>
    </row>
    <row r="229" spans="1:6" hidden="1" x14ac:dyDescent="0.25">
      <c r="A229">
        <v>20264</v>
      </c>
      <c r="B229">
        <v>4</v>
      </c>
      <c r="C229" s="7">
        <v>19.6973533333333</v>
      </c>
      <c r="D229">
        <v>12</v>
      </c>
      <c r="E229" s="3">
        <f t="shared" si="6"/>
        <v>5.276127361163706E-3</v>
      </c>
      <c r="F229" t="s">
        <v>22</v>
      </c>
    </row>
    <row r="230" spans="1:6" hidden="1" x14ac:dyDescent="0.25">
      <c r="A230">
        <v>20183</v>
      </c>
      <c r="B230">
        <v>7</v>
      </c>
      <c r="C230" s="7">
        <v>19.583739999999999</v>
      </c>
      <c r="D230">
        <v>12</v>
      </c>
      <c r="E230" s="3">
        <f t="shared" si="6"/>
        <v>2.6450861389914013E-3</v>
      </c>
    </row>
    <row r="231" spans="1:6" hidden="1" x14ac:dyDescent="0.25">
      <c r="A231">
        <v>20580</v>
      </c>
      <c r="B231">
        <v>6</v>
      </c>
      <c r="C231" s="7">
        <v>19.571369999999899</v>
      </c>
      <c r="D231">
        <v>2</v>
      </c>
      <c r="E231" s="3">
        <f t="shared" si="6"/>
        <v>3.7466577801645961E-3</v>
      </c>
    </row>
    <row r="232" spans="1:6" hidden="1" x14ac:dyDescent="0.25">
      <c r="A232">
        <v>20239</v>
      </c>
      <c r="B232">
        <v>2</v>
      </c>
      <c r="C232" s="7">
        <v>19.5159566666666</v>
      </c>
      <c r="D232">
        <v>12</v>
      </c>
      <c r="E232" s="3">
        <f t="shared" si="6"/>
        <v>1.9512008502802127E-3</v>
      </c>
    </row>
    <row r="233" spans="1:6" hidden="1" x14ac:dyDescent="0.25">
      <c r="A233">
        <v>20241</v>
      </c>
      <c r="B233">
        <v>3</v>
      </c>
      <c r="C233" s="7">
        <v>19.4788833333333</v>
      </c>
      <c r="D233">
        <v>12</v>
      </c>
      <c r="E233" s="3">
        <f t="shared" si="6"/>
        <v>8.8122273847382557E-3</v>
      </c>
      <c r="F233" t="s">
        <v>22</v>
      </c>
    </row>
    <row r="234" spans="1:6" hidden="1" x14ac:dyDescent="0.25">
      <c r="A234">
        <v>20289</v>
      </c>
      <c r="B234">
        <v>2</v>
      </c>
      <c r="C234" s="7">
        <v>19.4755166666666</v>
      </c>
      <c r="D234">
        <v>12</v>
      </c>
      <c r="E234" s="3">
        <f t="shared" si="6"/>
        <v>1.9471576683991981E-3</v>
      </c>
    </row>
    <row r="235" spans="1:6" hidden="1" x14ac:dyDescent="0.25">
      <c r="A235">
        <v>20311</v>
      </c>
      <c r="B235">
        <v>4</v>
      </c>
      <c r="C235" s="7">
        <v>19.356306666666601</v>
      </c>
      <c r="D235">
        <v>12</v>
      </c>
      <c r="E235" s="3">
        <f t="shared" si="6"/>
        <v>5.1847746997688996E-3</v>
      </c>
      <c r="F235" t="s">
        <v>22</v>
      </c>
    </row>
    <row r="236" spans="1:6" hidden="1" x14ac:dyDescent="0.25">
      <c r="A236">
        <v>20240</v>
      </c>
      <c r="B236">
        <v>2</v>
      </c>
      <c r="C236" s="7">
        <v>19.220993333333301</v>
      </c>
      <c r="D236">
        <v>12</v>
      </c>
      <c r="E236" s="3">
        <f t="shared" si="6"/>
        <v>1.9217104841848403E-3</v>
      </c>
    </row>
    <row r="237" spans="1:6" hidden="1" x14ac:dyDescent="0.25">
      <c r="A237">
        <v>20253</v>
      </c>
      <c r="B237">
        <v>4</v>
      </c>
      <c r="C237" s="7">
        <v>18.72551</v>
      </c>
      <c r="D237">
        <v>12</v>
      </c>
      <c r="E237" s="3">
        <f t="shared" si="6"/>
        <v>5.01580968726144E-3</v>
      </c>
      <c r="F237" t="s">
        <v>22</v>
      </c>
    </row>
    <row r="238" spans="1:6" hidden="1" x14ac:dyDescent="0.25">
      <c r="A238">
        <v>20275</v>
      </c>
      <c r="B238">
        <v>7</v>
      </c>
      <c r="C238" s="7">
        <v>18.703766666666599</v>
      </c>
      <c r="D238">
        <v>12</v>
      </c>
      <c r="E238" s="3">
        <f t="shared" si="6"/>
        <v>2.5262321679581749E-3</v>
      </c>
    </row>
    <row r="239" spans="1:6" hidden="1" x14ac:dyDescent="0.25">
      <c r="A239">
        <v>20282</v>
      </c>
      <c r="B239">
        <v>2</v>
      </c>
      <c r="C239" s="7">
        <v>18.639939999999999</v>
      </c>
      <c r="D239">
        <v>12</v>
      </c>
      <c r="E239" s="3">
        <f t="shared" si="6"/>
        <v>1.8636169058159897E-3</v>
      </c>
    </row>
    <row r="240" spans="1:6" hidden="1" x14ac:dyDescent="0.25">
      <c r="A240">
        <v>20307</v>
      </c>
      <c r="B240">
        <v>7</v>
      </c>
      <c r="C240" s="7">
        <v>18.469799999999999</v>
      </c>
      <c r="D240">
        <v>12</v>
      </c>
      <c r="E240" s="3">
        <f t="shared" si="6"/>
        <v>2.4946313610139524E-3</v>
      </c>
    </row>
    <row r="241" spans="1:6" hidden="1" x14ac:dyDescent="0.25">
      <c r="A241">
        <v>20288</v>
      </c>
      <c r="B241">
        <v>7</v>
      </c>
      <c r="C241" s="7">
        <v>18.460239999999999</v>
      </c>
      <c r="D241">
        <v>12</v>
      </c>
      <c r="E241" s="3">
        <f t="shared" si="6"/>
        <v>2.4933401355642297E-3</v>
      </c>
    </row>
    <row r="242" spans="1:6" hidden="1" x14ac:dyDescent="0.25">
      <c r="A242">
        <v>20526</v>
      </c>
      <c r="B242">
        <v>6</v>
      </c>
      <c r="C242" s="7">
        <v>18.4246566666666</v>
      </c>
      <c r="D242">
        <v>0</v>
      </c>
      <c r="E242" s="3">
        <f t="shared" si="6"/>
        <v>3.5271359770434195E-3</v>
      </c>
    </row>
    <row r="243" spans="1:6" hidden="1" x14ac:dyDescent="0.25">
      <c r="A243">
        <v>20352</v>
      </c>
      <c r="B243">
        <v>6</v>
      </c>
      <c r="C243" s="7">
        <v>18.337266666666601</v>
      </c>
      <c r="D243">
        <v>12</v>
      </c>
      <c r="E243" s="3">
        <f t="shared" si="6"/>
        <v>3.5104064162917409E-3</v>
      </c>
    </row>
    <row r="244" spans="1:6" hidden="1" x14ac:dyDescent="0.25">
      <c r="A244">
        <v>20525</v>
      </c>
      <c r="B244">
        <v>6</v>
      </c>
      <c r="C244" s="7">
        <v>18.329750000000001</v>
      </c>
      <c r="D244">
        <v>0</v>
      </c>
      <c r="E244" s="3">
        <f t="shared" si="6"/>
        <v>3.5089674583829527E-3</v>
      </c>
    </row>
    <row r="245" spans="1:6" hidden="1" x14ac:dyDescent="0.25">
      <c r="A245">
        <v>20314</v>
      </c>
      <c r="B245">
        <v>2</v>
      </c>
      <c r="C245" s="7">
        <v>18.072036666666602</v>
      </c>
      <c r="D245">
        <v>12</v>
      </c>
      <c r="E245" s="3">
        <f t="shared" si="6"/>
        <v>1.8068380614168461E-3</v>
      </c>
    </row>
    <row r="246" spans="1:6" hidden="1" x14ac:dyDescent="0.25">
      <c r="A246">
        <v>20300</v>
      </c>
      <c r="B246">
        <v>2</v>
      </c>
      <c r="C246" s="7">
        <v>18.02619</v>
      </c>
      <c r="D246">
        <v>12</v>
      </c>
      <c r="E246" s="3">
        <f t="shared" si="6"/>
        <v>1.8022543222484158E-3</v>
      </c>
    </row>
    <row r="247" spans="1:6" hidden="1" x14ac:dyDescent="0.25">
      <c r="A247">
        <v>20368</v>
      </c>
      <c r="B247">
        <v>2</v>
      </c>
      <c r="C247" s="7">
        <v>17.965786666666599</v>
      </c>
      <c r="D247">
        <v>9</v>
      </c>
      <c r="E247" s="3">
        <f t="shared" si="6"/>
        <v>1.7962152109010743E-3</v>
      </c>
    </row>
    <row r="248" spans="1:6" hidden="1" x14ac:dyDescent="0.25">
      <c r="A248">
        <v>20273</v>
      </c>
      <c r="B248">
        <v>2</v>
      </c>
      <c r="C248" s="7">
        <v>17.940629999999999</v>
      </c>
      <c r="D248">
        <v>12</v>
      </c>
      <c r="E248" s="3">
        <f t="shared" si="6"/>
        <v>1.7937000531648448E-3</v>
      </c>
    </row>
    <row r="249" spans="1:6" hidden="1" x14ac:dyDescent="0.25">
      <c r="A249">
        <v>20270</v>
      </c>
      <c r="B249">
        <v>2</v>
      </c>
      <c r="C249" s="7">
        <v>17.795249999999999</v>
      </c>
      <c r="D249">
        <v>12</v>
      </c>
      <c r="E249" s="3">
        <f t="shared" si="6"/>
        <v>1.7791649942661828E-3</v>
      </c>
    </row>
    <row r="250" spans="1:6" hidden="1" x14ac:dyDescent="0.25">
      <c r="A250">
        <v>20296</v>
      </c>
      <c r="B250">
        <v>1</v>
      </c>
      <c r="C250" s="7">
        <v>17.758893333333301</v>
      </c>
      <c r="D250">
        <v>12</v>
      </c>
      <c r="E250" s="3">
        <f t="shared" si="6"/>
        <v>1.0802525136490682E-2</v>
      </c>
      <c r="F250" t="s">
        <v>22</v>
      </c>
    </row>
    <row r="251" spans="1:6" hidden="1" x14ac:dyDescent="0.25">
      <c r="A251">
        <v>20298</v>
      </c>
      <c r="B251">
        <v>2</v>
      </c>
      <c r="C251" s="7">
        <v>17.671233333333301</v>
      </c>
      <c r="D251">
        <v>12</v>
      </c>
      <c r="E251" s="3">
        <f t="shared" si="6"/>
        <v>1.7667658365112218E-3</v>
      </c>
    </row>
    <row r="252" spans="1:6" hidden="1" x14ac:dyDescent="0.25">
      <c r="A252">
        <v>20207</v>
      </c>
      <c r="B252">
        <v>3</v>
      </c>
      <c r="C252" s="7">
        <v>17.6452733333333</v>
      </c>
      <c r="D252">
        <v>12</v>
      </c>
      <c r="E252" s="3">
        <f t="shared" si="6"/>
        <v>7.9827040502420139E-3</v>
      </c>
      <c r="F252" t="s">
        <v>22</v>
      </c>
    </row>
    <row r="253" spans="1:6" hidden="1" x14ac:dyDescent="0.25">
      <c r="A253">
        <v>20272</v>
      </c>
      <c r="B253">
        <v>2</v>
      </c>
      <c r="C253" s="7">
        <v>17.578046666666602</v>
      </c>
      <c r="D253">
        <v>12</v>
      </c>
      <c r="E253" s="3">
        <f t="shared" si="6"/>
        <v>1.757449055051802E-3</v>
      </c>
    </row>
    <row r="254" spans="1:6" hidden="1" x14ac:dyDescent="0.25">
      <c r="A254">
        <v>20326</v>
      </c>
      <c r="B254">
        <v>7</v>
      </c>
      <c r="C254" s="7">
        <v>17.2066466666666</v>
      </c>
      <c r="D254">
        <v>12</v>
      </c>
      <c r="E254" s="3">
        <f t="shared" si="6"/>
        <v>2.3240230209613908E-3</v>
      </c>
    </row>
    <row r="255" spans="1:6" hidden="1" x14ac:dyDescent="0.25">
      <c r="A255">
        <v>20381</v>
      </c>
      <c r="B255">
        <v>6</v>
      </c>
      <c r="C255" s="7">
        <v>17.20635</v>
      </c>
      <c r="D255">
        <v>12</v>
      </c>
      <c r="E255" s="3">
        <f t="shared" si="6"/>
        <v>3.2939086581948752E-3</v>
      </c>
    </row>
    <row r="256" spans="1:6" hidden="1" x14ac:dyDescent="0.25">
      <c r="A256">
        <v>20280</v>
      </c>
      <c r="B256">
        <v>2</v>
      </c>
      <c r="C256" s="7">
        <v>17.007936666666598</v>
      </c>
      <c r="D256">
        <v>12</v>
      </c>
      <c r="E256" s="3">
        <f t="shared" si="6"/>
        <v>1.700449588627835E-3</v>
      </c>
    </row>
    <row r="257" spans="1:6" hidden="1" x14ac:dyDescent="0.25">
      <c r="A257">
        <v>20299</v>
      </c>
      <c r="B257">
        <v>7</v>
      </c>
      <c r="C257" s="7">
        <v>16.926909999999999</v>
      </c>
      <c r="D257">
        <v>12</v>
      </c>
      <c r="E257" s="3">
        <f t="shared" si="6"/>
        <v>2.2862402695784842E-3</v>
      </c>
    </row>
    <row r="258" spans="1:6" hidden="1" x14ac:dyDescent="0.25">
      <c r="A258">
        <v>20334</v>
      </c>
      <c r="B258">
        <v>3</v>
      </c>
      <c r="C258" s="7">
        <v>16.8779133333333</v>
      </c>
      <c r="D258">
        <v>12</v>
      </c>
      <c r="E258" s="3">
        <f t="shared" si="6"/>
        <v>7.6355511518835639E-3</v>
      </c>
      <c r="F258" t="s">
        <v>22</v>
      </c>
    </row>
    <row r="259" spans="1:6" hidden="1" x14ac:dyDescent="0.25">
      <c r="A259">
        <v>20537</v>
      </c>
      <c r="B259">
        <v>6</v>
      </c>
      <c r="C259" s="7">
        <v>16.870753333333301</v>
      </c>
      <c r="D259">
        <v>0</v>
      </c>
      <c r="E259" s="3">
        <f t="shared" ref="E259:E322" si="7">$C259/SUMIF($B$2:$B$781,B259,$C$2:$C$781)</f>
        <v>3.2296634948688484E-3</v>
      </c>
    </row>
    <row r="260" spans="1:6" hidden="1" x14ac:dyDescent="0.25">
      <c r="A260">
        <v>20216</v>
      </c>
      <c r="B260">
        <v>2</v>
      </c>
      <c r="C260" s="7">
        <v>16.842296666666599</v>
      </c>
      <c r="D260">
        <v>12</v>
      </c>
      <c r="E260" s="3">
        <f t="shared" si="7"/>
        <v>1.6838889395978831E-3</v>
      </c>
    </row>
    <row r="261" spans="1:6" hidden="1" x14ac:dyDescent="0.25">
      <c r="A261">
        <v>20252</v>
      </c>
      <c r="B261">
        <v>3</v>
      </c>
      <c r="C261" s="7">
        <v>16.8156833333333</v>
      </c>
      <c r="D261">
        <v>12</v>
      </c>
      <c r="E261" s="3">
        <f t="shared" si="7"/>
        <v>7.6073983619742045E-3</v>
      </c>
      <c r="F261" t="s">
        <v>22</v>
      </c>
    </row>
    <row r="262" spans="1:6" hidden="1" x14ac:dyDescent="0.25">
      <c r="A262">
        <v>20284</v>
      </c>
      <c r="B262">
        <v>2</v>
      </c>
      <c r="C262" s="7">
        <v>16.69595</v>
      </c>
      <c r="D262">
        <v>12</v>
      </c>
      <c r="E262" s="3">
        <f t="shared" si="7"/>
        <v>1.6692572335886529E-3</v>
      </c>
    </row>
    <row r="263" spans="1:6" hidden="1" x14ac:dyDescent="0.25">
      <c r="A263">
        <v>20309</v>
      </c>
      <c r="B263">
        <v>6</v>
      </c>
      <c r="C263" s="7">
        <v>16.57761</v>
      </c>
      <c r="D263">
        <v>12</v>
      </c>
      <c r="E263" s="3">
        <f t="shared" si="7"/>
        <v>3.1735454126632285E-3</v>
      </c>
    </row>
    <row r="264" spans="1:6" hidden="1" x14ac:dyDescent="0.25">
      <c r="A264">
        <v>20548</v>
      </c>
      <c r="B264">
        <v>6</v>
      </c>
      <c r="C264" s="7">
        <v>16.538879999999999</v>
      </c>
      <c r="D264">
        <v>0</v>
      </c>
      <c r="E264" s="3">
        <f t="shared" si="7"/>
        <v>3.1661311102497655E-3</v>
      </c>
    </row>
    <row r="265" spans="1:6" hidden="1" x14ac:dyDescent="0.25">
      <c r="A265">
        <v>20348</v>
      </c>
      <c r="B265">
        <v>3</v>
      </c>
      <c r="C265" s="7">
        <v>16.436450000000001</v>
      </c>
      <c r="D265">
        <v>12</v>
      </c>
      <c r="E265" s="3">
        <f t="shared" si="7"/>
        <v>7.4358335803582859E-3</v>
      </c>
      <c r="F265" t="s">
        <v>22</v>
      </c>
    </row>
    <row r="266" spans="1:6" hidden="1" x14ac:dyDescent="0.25">
      <c r="A266">
        <v>20295</v>
      </c>
      <c r="B266">
        <v>3</v>
      </c>
      <c r="C266" s="7">
        <v>16.237639999999999</v>
      </c>
      <c r="D266">
        <v>12</v>
      </c>
      <c r="E266" s="3">
        <f t="shared" si="7"/>
        <v>7.345892134723064E-3</v>
      </c>
      <c r="F266" t="s">
        <v>22</v>
      </c>
    </row>
    <row r="267" spans="1:6" hidden="1" x14ac:dyDescent="0.25">
      <c r="A267">
        <v>20291</v>
      </c>
      <c r="B267">
        <v>2</v>
      </c>
      <c r="C267" s="7">
        <v>16.236046666666599</v>
      </c>
      <c r="D267">
        <v>12</v>
      </c>
      <c r="E267" s="3">
        <f t="shared" si="7"/>
        <v>1.6232762043020107E-3</v>
      </c>
    </row>
    <row r="268" spans="1:6" hidden="1" x14ac:dyDescent="0.25">
      <c r="A268">
        <v>20315</v>
      </c>
      <c r="B268">
        <v>4</v>
      </c>
      <c r="C268" s="7">
        <v>16.187339999999999</v>
      </c>
      <c r="D268">
        <v>12</v>
      </c>
      <c r="E268" s="3">
        <f t="shared" si="7"/>
        <v>4.3359362059027812E-3</v>
      </c>
      <c r="F268" t="s">
        <v>22</v>
      </c>
    </row>
    <row r="269" spans="1:6" hidden="1" x14ac:dyDescent="0.25">
      <c r="A269">
        <v>20277</v>
      </c>
      <c r="B269">
        <v>2</v>
      </c>
      <c r="C269" s="7">
        <v>16.0397</v>
      </c>
      <c r="D269">
        <v>12</v>
      </c>
      <c r="E269" s="3">
        <f t="shared" si="7"/>
        <v>1.6036455098147704E-3</v>
      </c>
    </row>
    <row r="270" spans="1:6" hidden="1" x14ac:dyDescent="0.25">
      <c r="A270">
        <v>20301</v>
      </c>
      <c r="B270">
        <v>2</v>
      </c>
      <c r="C270" s="7">
        <v>15.90394</v>
      </c>
      <c r="D270">
        <v>12</v>
      </c>
      <c r="E270" s="3">
        <f t="shared" si="7"/>
        <v>1.5900722562992775E-3</v>
      </c>
    </row>
    <row r="271" spans="1:6" hidden="1" x14ac:dyDescent="0.25">
      <c r="A271">
        <v>20402</v>
      </c>
      <c r="B271">
        <v>1</v>
      </c>
      <c r="C271" s="7">
        <v>15.870013333333301</v>
      </c>
      <c r="D271">
        <v>12</v>
      </c>
      <c r="E271" s="3">
        <f t="shared" si="7"/>
        <v>9.6535417343822233E-3</v>
      </c>
      <c r="F271" t="s">
        <v>22</v>
      </c>
    </row>
    <row r="272" spans="1:6" hidden="1" x14ac:dyDescent="0.25">
      <c r="A272">
        <v>20310</v>
      </c>
      <c r="B272">
        <v>2</v>
      </c>
      <c r="C272" s="7">
        <v>15.841003333333299</v>
      </c>
      <c r="D272">
        <v>12</v>
      </c>
      <c r="E272" s="3">
        <f t="shared" si="7"/>
        <v>1.5837798628690533E-3</v>
      </c>
    </row>
    <row r="273" spans="1:6" hidden="1" x14ac:dyDescent="0.25">
      <c r="A273">
        <v>20344</v>
      </c>
      <c r="B273">
        <v>3</v>
      </c>
      <c r="C273" s="7">
        <v>15.7732999999999</v>
      </c>
      <c r="D273">
        <v>12</v>
      </c>
      <c r="E273" s="3">
        <f t="shared" si="7"/>
        <v>7.1358251820231623E-3</v>
      </c>
      <c r="F273" t="s">
        <v>22</v>
      </c>
    </row>
    <row r="274" spans="1:6" hidden="1" x14ac:dyDescent="0.25">
      <c r="A274">
        <v>20330</v>
      </c>
      <c r="B274">
        <v>1</v>
      </c>
      <c r="C274" s="7">
        <v>15.63621</v>
      </c>
      <c r="D274">
        <v>12</v>
      </c>
      <c r="E274" s="3">
        <f t="shared" si="7"/>
        <v>9.511321927217346E-3</v>
      </c>
      <c r="F274" t="s">
        <v>22</v>
      </c>
    </row>
    <row r="275" spans="1:6" hidden="1" x14ac:dyDescent="0.25">
      <c r="A275">
        <v>20292</v>
      </c>
      <c r="B275">
        <v>2</v>
      </c>
      <c r="C275" s="7">
        <v>15.5622266666666</v>
      </c>
      <c r="D275">
        <v>12</v>
      </c>
      <c r="E275" s="3">
        <f t="shared" si="7"/>
        <v>1.5559078359769557E-3</v>
      </c>
    </row>
    <row r="276" spans="1:6" hidden="1" x14ac:dyDescent="0.25">
      <c r="A276">
        <v>20259</v>
      </c>
      <c r="B276">
        <v>2</v>
      </c>
      <c r="C276" s="7">
        <v>15.5361466666666</v>
      </c>
      <c r="D276">
        <v>12</v>
      </c>
      <c r="E276" s="3">
        <f t="shared" si="7"/>
        <v>1.5533003635868254E-3</v>
      </c>
    </row>
    <row r="277" spans="1:6" hidden="1" x14ac:dyDescent="0.25">
      <c r="A277">
        <v>20342</v>
      </c>
      <c r="B277">
        <v>6</v>
      </c>
      <c r="C277" s="7">
        <v>15.45337</v>
      </c>
      <c r="D277">
        <v>12</v>
      </c>
      <c r="E277" s="3">
        <f t="shared" si="7"/>
        <v>2.9583258065358975E-3</v>
      </c>
    </row>
    <row r="278" spans="1:6" hidden="1" x14ac:dyDescent="0.25">
      <c r="A278">
        <v>20495</v>
      </c>
      <c r="B278">
        <v>2</v>
      </c>
      <c r="C278" s="7">
        <v>15.40443</v>
      </c>
      <c r="D278">
        <v>4</v>
      </c>
      <c r="E278" s="3">
        <f t="shared" si="7"/>
        <v>1.5401313616062609E-3</v>
      </c>
    </row>
    <row r="279" spans="1:6" hidden="1" x14ac:dyDescent="0.25">
      <c r="A279">
        <v>20521</v>
      </c>
      <c r="B279">
        <v>6</v>
      </c>
      <c r="C279" s="7">
        <v>15.3406166666666</v>
      </c>
      <c r="D279">
        <v>0</v>
      </c>
      <c r="E279" s="3">
        <f t="shared" si="7"/>
        <v>2.936740799785063E-3</v>
      </c>
    </row>
    <row r="280" spans="1:6" hidden="1" x14ac:dyDescent="0.25">
      <c r="A280">
        <v>20577</v>
      </c>
      <c r="B280">
        <v>6</v>
      </c>
      <c r="C280" s="7">
        <v>15.2038366666666</v>
      </c>
      <c r="D280">
        <v>0</v>
      </c>
      <c r="E280" s="3">
        <f t="shared" si="7"/>
        <v>2.9105562326765307E-3</v>
      </c>
    </row>
    <row r="281" spans="1:6" hidden="1" x14ac:dyDescent="0.25">
      <c r="A281">
        <v>20320</v>
      </c>
      <c r="B281">
        <v>2</v>
      </c>
      <c r="C281" s="7">
        <v>15.193449999999901</v>
      </c>
      <c r="D281">
        <v>12</v>
      </c>
      <c r="E281" s="3">
        <f t="shared" si="7"/>
        <v>1.5190376298244396E-3</v>
      </c>
    </row>
    <row r="282" spans="1:6" hidden="1" x14ac:dyDescent="0.25">
      <c r="A282">
        <v>20343</v>
      </c>
      <c r="B282">
        <v>2</v>
      </c>
      <c r="C282" s="7">
        <v>15.174826666666601</v>
      </c>
      <c r="D282">
        <v>12</v>
      </c>
      <c r="E282" s="3">
        <f t="shared" si="7"/>
        <v>1.5171756732493334E-3</v>
      </c>
    </row>
    <row r="283" spans="1:6" hidden="1" x14ac:dyDescent="0.25">
      <c r="A283">
        <v>20317</v>
      </c>
      <c r="B283">
        <v>4</v>
      </c>
      <c r="C283" s="7">
        <v>15.102566666666601</v>
      </c>
      <c r="D283">
        <v>12</v>
      </c>
      <c r="E283" s="3">
        <f t="shared" si="7"/>
        <v>4.045369134895554E-3</v>
      </c>
      <c r="F283" t="s">
        <v>22</v>
      </c>
    </row>
    <row r="284" spans="1:6" hidden="1" x14ac:dyDescent="0.25">
      <c r="A284">
        <v>20575</v>
      </c>
      <c r="B284">
        <v>6</v>
      </c>
      <c r="C284" s="7">
        <v>15.0437833333333</v>
      </c>
      <c r="D284">
        <v>0</v>
      </c>
      <c r="E284" s="3">
        <f t="shared" si="7"/>
        <v>2.8799163200605776E-3</v>
      </c>
    </row>
    <row r="285" spans="1:6" hidden="1" x14ac:dyDescent="0.25">
      <c r="A285">
        <v>20380</v>
      </c>
      <c r="B285">
        <v>6</v>
      </c>
      <c r="C285" s="7">
        <v>15.031796666666599</v>
      </c>
      <c r="D285">
        <v>12</v>
      </c>
      <c r="E285" s="3">
        <f t="shared" si="7"/>
        <v>2.877621644832168E-3</v>
      </c>
    </row>
    <row r="286" spans="1:6" hidden="1" x14ac:dyDescent="0.25">
      <c r="A286">
        <v>20324</v>
      </c>
      <c r="B286">
        <v>2</v>
      </c>
      <c r="C286" s="7">
        <v>15.009733333333299</v>
      </c>
      <c r="D286">
        <v>12</v>
      </c>
      <c r="E286" s="3">
        <f t="shared" si="7"/>
        <v>1.5006696798267444E-3</v>
      </c>
    </row>
    <row r="287" spans="1:6" hidden="1" x14ac:dyDescent="0.25">
      <c r="A287">
        <v>20354</v>
      </c>
      <c r="B287">
        <v>3</v>
      </c>
      <c r="C287" s="7">
        <v>15.0076966666666</v>
      </c>
      <c r="D287">
        <v>12</v>
      </c>
      <c r="E287" s="3">
        <f t="shared" si="7"/>
        <v>6.7894669979119953E-3</v>
      </c>
      <c r="F287" t="s">
        <v>22</v>
      </c>
    </row>
    <row r="288" spans="1:6" hidden="1" x14ac:dyDescent="0.25">
      <c r="A288">
        <v>20356</v>
      </c>
      <c r="B288">
        <v>2</v>
      </c>
      <c r="C288" s="7">
        <v>14.94023</v>
      </c>
      <c r="D288">
        <v>12</v>
      </c>
      <c r="E288" s="3">
        <f t="shared" si="7"/>
        <v>1.4937207525764151E-3</v>
      </c>
    </row>
    <row r="289" spans="1:6" hidden="1" x14ac:dyDescent="0.25">
      <c r="A289">
        <v>20531</v>
      </c>
      <c r="B289">
        <v>6</v>
      </c>
      <c r="C289" s="7">
        <v>14.883620000000001</v>
      </c>
      <c r="D289">
        <v>0</v>
      </c>
      <c r="E289" s="3">
        <f t="shared" si="7"/>
        <v>2.8492553495240076E-3</v>
      </c>
    </row>
    <row r="290" spans="1:6" hidden="1" x14ac:dyDescent="0.25">
      <c r="A290">
        <v>20615</v>
      </c>
      <c r="B290">
        <v>6</v>
      </c>
      <c r="C290" s="7">
        <v>14.781180000000001</v>
      </c>
      <c r="D290">
        <v>0</v>
      </c>
      <c r="E290" s="3">
        <f t="shared" si="7"/>
        <v>2.8296446823606941E-3</v>
      </c>
    </row>
    <row r="291" spans="1:6" hidden="1" x14ac:dyDescent="0.25">
      <c r="A291">
        <v>20357</v>
      </c>
      <c r="B291">
        <v>1</v>
      </c>
      <c r="C291" s="7">
        <v>14.777256666666601</v>
      </c>
      <c r="D291">
        <v>12</v>
      </c>
      <c r="E291" s="3">
        <f t="shared" si="7"/>
        <v>8.9888307561605246E-3</v>
      </c>
      <c r="F291" t="s">
        <v>22</v>
      </c>
    </row>
    <row r="292" spans="1:6" hidden="1" x14ac:dyDescent="0.25">
      <c r="A292">
        <v>20460</v>
      </c>
      <c r="B292">
        <v>2</v>
      </c>
      <c r="C292" s="7">
        <v>14.716139999999999</v>
      </c>
      <c r="D292">
        <v>2</v>
      </c>
      <c r="E292" s="3">
        <f t="shared" si="7"/>
        <v>1.4713162860156696E-3</v>
      </c>
    </row>
    <row r="293" spans="1:6" x14ac:dyDescent="0.25">
      <c r="A293">
        <v>20438</v>
      </c>
      <c r="B293">
        <v>0</v>
      </c>
      <c r="C293" s="7">
        <v>14.672980000000001</v>
      </c>
      <c r="D293">
        <v>12</v>
      </c>
      <c r="E293" s="3">
        <f t="shared" si="7"/>
        <v>3.5278958936290579E-2</v>
      </c>
    </row>
    <row r="294" spans="1:6" hidden="1" x14ac:dyDescent="0.25">
      <c r="A294">
        <v>20327</v>
      </c>
      <c r="B294">
        <v>2</v>
      </c>
      <c r="C294" s="7">
        <v>14.563603333333299</v>
      </c>
      <c r="D294">
        <v>12</v>
      </c>
      <c r="E294" s="3">
        <f t="shared" si="7"/>
        <v>1.4560657052328514E-3</v>
      </c>
    </row>
    <row r="295" spans="1:6" hidden="1" x14ac:dyDescent="0.25">
      <c r="A295">
        <v>20283</v>
      </c>
      <c r="B295">
        <v>2</v>
      </c>
      <c r="C295" s="7">
        <v>14.4549633333333</v>
      </c>
      <c r="D295">
        <v>12</v>
      </c>
      <c r="E295" s="3">
        <f t="shared" si="7"/>
        <v>1.4452039030678312E-3</v>
      </c>
    </row>
    <row r="296" spans="1:6" hidden="1" x14ac:dyDescent="0.25">
      <c r="A296">
        <v>20433</v>
      </c>
      <c r="B296">
        <v>1</v>
      </c>
      <c r="C296" s="7">
        <v>14.4073733333333</v>
      </c>
      <c r="D296">
        <v>12</v>
      </c>
      <c r="E296" s="3">
        <f t="shared" si="7"/>
        <v>8.7638350916839497E-3</v>
      </c>
    </row>
    <row r="297" spans="1:6" hidden="1" x14ac:dyDescent="0.25">
      <c r="A297">
        <v>20547</v>
      </c>
      <c r="B297">
        <v>7</v>
      </c>
      <c r="C297" s="7">
        <v>14.3348466666666</v>
      </c>
      <c r="D297">
        <v>2</v>
      </c>
      <c r="E297" s="3">
        <f t="shared" si="7"/>
        <v>1.9361421374347759E-3</v>
      </c>
    </row>
    <row r="298" spans="1:6" hidden="1" x14ac:dyDescent="0.25">
      <c r="A298">
        <v>20329</v>
      </c>
      <c r="B298">
        <v>2</v>
      </c>
      <c r="C298" s="7">
        <v>14.2563866666666</v>
      </c>
      <c r="D298">
        <v>12</v>
      </c>
      <c r="E298" s="3">
        <f t="shared" si="7"/>
        <v>1.4253502536944616E-3</v>
      </c>
    </row>
    <row r="299" spans="1:6" hidden="1" x14ac:dyDescent="0.25">
      <c r="A299">
        <v>20387</v>
      </c>
      <c r="B299">
        <v>3</v>
      </c>
      <c r="C299" s="7">
        <v>14.242336666666599</v>
      </c>
      <c r="D299">
        <v>12</v>
      </c>
      <c r="E299" s="3">
        <f t="shared" si="7"/>
        <v>6.443218897558025E-3</v>
      </c>
      <c r="F299" t="s">
        <v>22</v>
      </c>
    </row>
    <row r="300" spans="1:6" hidden="1" x14ac:dyDescent="0.25">
      <c r="A300">
        <v>20491</v>
      </c>
      <c r="B300">
        <v>6</v>
      </c>
      <c r="C300" s="7">
        <v>14.22443</v>
      </c>
      <c r="D300">
        <v>0</v>
      </c>
      <c r="E300" s="3">
        <f t="shared" si="7"/>
        <v>2.7230628886944024E-3</v>
      </c>
    </row>
    <row r="301" spans="1:6" hidden="1" x14ac:dyDescent="0.25">
      <c r="A301">
        <v>20349</v>
      </c>
      <c r="B301">
        <v>2</v>
      </c>
      <c r="C301" s="7">
        <v>14.0977433333333</v>
      </c>
      <c r="D301">
        <v>12</v>
      </c>
      <c r="E301" s="3">
        <f t="shared" si="7"/>
        <v>1.4094891297855359E-3</v>
      </c>
    </row>
    <row r="302" spans="1:6" hidden="1" x14ac:dyDescent="0.25">
      <c r="A302">
        <v>20336</v>
      </c>
      <c r="B302">
        <v>6</v>
      </c>
      <c r="C302" s="7">
        <v>14.0511466666666</v>
      </c>
      <c r="D302">
        <v>12</v>
      </c>
      <c r="E302" s="3">
        <f t="shared" si="7"/>
        <v>2.6898902825351787E-3</v>
      </c>
    </row>
    <row r="303" spans="1:6" hidden="1" x14ac:dyDescent="0.25">
      <c r="A303">
        <v>20522</v>
      </c>
      <c r="B303">
        <v>7</v>
      </c>
      <c r="C303" s="7">
        <v>13.9101966666666</v>
      </c>
      <c r="D303">
        <v>6</v>
      </c>
      <c r="E303" s="3">
        <f t="shared" si="7"/>
        <v>1.8787866052982841E-3</v>
      </c>
    </row>
    <row r="304" spans="1:6" hidden="1" x14ac:dyDescent="0.25">
      <c r="A304">
        <v>20365</v>
      </c>
      <c r="B304">
        <v>1</v>
      </c>
      <c r="C304" s="7">
        <v>13.857900000000001</v>
      </c>
      <c r="D304">
        <v>12</v>
      </c>
      <c r="E304" s="3">
        <f t="shared" si="7"/>
        <v>8.4295969506156081E-3</v>
      </c>
    </row>
    <row r="305" spans="1:6" hidden="1" x14ac:dyDescent="0.25">
      <c r="A305">
        <v>20623</v>
      </c>
      <c r="B305">
        <v>6</v>
      </c>
      <c r="C305" s="7">
        <v>13.7134466666666</v>
      </c>
      <c r="D305">
        <v>0</v>
      </c>
      <c r="E305" s="3">
        <f t="shared" si="7"/>
        <v>2.6252424662422166E-3</v>
      </c>
    </row>
    <row r="306" spans="1:6" hidden="1" x14ac:dyDescent="0.25">
      <c r="A306">
        <v>20269</v>
      </c>
      <c r="B306">
        <v>4</v>
      </c>
      <c r="C306" s="7">
        <v>13.6042666666666</v>
      </c>
      <c r="D306">
        <v>12</v>
      </c>
      <c r="E306" s="3">
        <f t="shared" si="7"/>
        <v>3.6440349306776816E-3</v>
      </c>
      <c r="F306" t="s">
        <v>22</v>
      </c>
    </row>
    <row r="307" spans="1:6" hidden="1" x14ac:dyDescent="0.25">
      <c r="A307">
        <v>20359</v>
      </c>
      <c r="B307">
        <v>2</v>
      </c>
      <c r="C307" s="7">
        <v>13.560749999999899</v>
      </c>
      <c r="D307">
        <v>12</v>
      </c>
      <c r="E307" s="3">
        <f t="shared" si="7"/>
        <v>1.3558006600634979E-3</v>
      </c>
    </row>
    <row r="308" spans="1:6" hidden="1" x14ac:dyDescent="0.25">
      <c r="A308">
        <v>20403</v>
      </c>
      <c r="B308">
        <v>2</v>
      </c>
      <c r="C308" s="7">
        <v>13.542536666666599</v>
      </c>
      <c r="D308">
        <v>12</v>
      </c>
      <c r="E308" s="3">
        <f t="shared" si="7"/>
        <v>1.3539796951939113E-3</v>
      </c>
    </row>
    <row r="309" spans="1:6" hidden="1" x14ac:dyDescent="0.25">
      <c r="A309">
        <v>20338</v>
      </c>
      <c r="B309">
        <v>2</v>
      </c>
      <c r="C309" s="7">
        <v>13.529589999999899</v>
      </c>
      <c r="D309">
        <v>12</v>
      </c>
      <c r="E309" s="3">
        <f t="shared" si="7"/>
        <v>1.3526852904440019E-3</v>
      </c>
    </row>
    <row r="310" spans="1:6" hidden="1" x14ac:dyDescent="0.25">
      <c r="A310">
        <v>20346</v>
      </c>
      <c r="B310">
        <v>4</v>
      </c>
      <c r="C310" s="7">
        <v>13.438856666666601</v>
      </c>
      <c r="D310">
        <v>12</v>
      </c>
      <c r="E310" s="3">
        <f t="shared" si="7"/>
        <v>3.5997282559665569E-3</v>
      </c>
      <c r="F310" t="s">
        <v>22</v>
      </c>
    </row>
    <row r="311" spans="1:6" hidden="1" x14ac:dyDescent="0.25">
      <c r="A311">
        <v>20621</v>
      </c>
      <c r="B311">
        <v>6</v>
      </c>
      <c r="C311" s="7">
        <v>13.2859933333333</v>
      </c>
      <c r="D311">
        <v>0</v>
      </c>
      <c r="E311" s="3">
        <f t="shared" si="7"/>
        <v>2.5434126629637283E-3</v>
      </c>
    </row>
    <row r="312" spans="1:6" hidden="1" x14ac:dyDescent="0.25">
      <c r="A312">
        <v>20523</v>
      </c>
      <c r="B312">
        <v>2</v>
      </c>
      <c r="C312" s="7">
        <v>13.072983333333299</v>
      </c>
      <c r="D312">
        <v>4</v>
      </c>
      <c r="E312" s="3">
        <f t="shared" si="7"/>
        <v>1.3070338611310232E-3</v>
      </c>
    </row>
    <row r="313" spans="1:6" hidden="1" x14ac:dyDescent="0.25">
      <c r="A313">
        <v>20332</v>
      </c>
      <c r="B313">
        <v>7</v>
      </c>
      <c r="C313" s="7">
        <v>13.002319999999999</v>
      </c>
      <c r="D313">
        <v>12</v>
      </c>
      <c r="E313" s="3">
        <f t="shared" si="7"/>
        <v>1.7561638587282448E-3</v>
      </c>
    </row>
    <row r="314" spans="1:6" hidden="1" x14ac:dyDescent="0.25">
      <c r="A314">
        <v>20603</v>
      </c>
      <c r="B314">
        <v>6</v>
      </c>
      <c r="C314" s="7">
        <v>12.9339366666666</v>
      </c>
      <c r="D314">
        <v>0</v>
      </c>
      <c r="E314" s="3">
        <f t="shared" si="7"/>
        <v>2.4760164689708905E-3</v>
      </c>
    </row>
    <row r="315" spans="1:6" hidden="1" x14ac:dyDescent="0.25">
      <c r="A315">
        <v>20592</v>
      </c>
      <c r="B315">
        <v>6</v>
      </c>
      <c r="C315" s="7">
        <v>12.9023066666666</v>
      </c>
      <c r="D315">
        <v>0</v>
      </c>
      <c r="E315" s="3">
        <f t="shared" si="7"/>
        <v>2.4699613596154079E-3</v>
      </c>
    </row>
    <row r="316" spans="1:6" hidden="1" x14ac:dyDescent="0.25">
      <c r="A316">
        <v>20527</v>
      </c>
      <c r="B316">
        <v>2</v>
      </c>
      <c r="C316" s="7">
        <v>12.79829</v>
      </c>
      <c r="D316">
        <v>4</v>
      </c>
      <c r="E316" s="3">
        <f t="shared" si="7"/>
        <v>1.2795700849646363E-3</v>
      </c>
    </row>
    <row r="317" spans="1:6" hidden="1" x14ac:dyDescent="0.25">
      <c r="A317">
        <v>20319</v>
      </c>
      <c r="B317">
        <v>2</v>
      </c>
      <c r="C317" s="7">
        <v>12.7949966666666</v>
      </c>
      <c r="D317">
        <v>12</v>
      </c>
      <c r="E317" s="3">
        <f t="shared" si="7"/>
        <v>1.2792408182568781E-3</v>
      </c>
    </row>
    <row r="318" spans="1:6" hidden="1" x14ac:dyDescent="0.25">
      <c r="A318">
        <v>20353</v>
      </c>
      <c r="B318">
        <v>4</v>
      </c>
      <c r="C318" s="7">
        <v>12.755750000000001</v>
      </c>
      <c r="D318">
        <v>12</v>
      </c>
      <c r="E318" s="3">
        <f t="shared" si="7"/>
        <v>3.4167515020036899E-3</v>
      </c>
      <c r="F318" t="s">
        <v>22</v>
      </c>
    </row>
    <row r="319" spans="1:6" hidden="1" x14ac:dyDescent="0.25">
      <c r="A319">
        <v>20673</v>
      </c>
      <c r="B319">
        <v>6</v>
      </c>
      <c r="C319" s="7">
        <v>12.7433966666666</v>
      </c>
      <c r="D319">
        <v>0</v>
      </c>
      <c r="E319" s="3">
        <f t="shared" si="7"/>
        <v>2.4395403217500997E-3</v>
      </c>
    </row>
    <row r="320" spans="1:6" hidden="1" x14ac:dyDescent="0.25">
      <c r="A320">
        <v>20569</v>
      </c>
      <c r="B320">
        <v>2</v>
      </c>
      <c r="C320" s="7">
        <v>12.60628</v>
      </c>
      <c r="D320">
        <v>4</v>
      </c>
      <c r="E320" s="3">
        <f t="shared" si="7"/>
        <v>1.260372969411382E-3</v>
      </c>
    </row>
    <row r="321" spans="1:6" hidden="1" x14ac:dyDescent="0.25">
      <c r="A321">
        <v>20255</v>
      </c>
      <c r="B321">
        <v>3</v>
      </c>
      <c r="C321" s="7">
        <v>12.5218666666666</v>
      </c>
      <c r="D321">
        <v>12</v>
      </c>
      <c r="E321" s="3">
        <f t="shared" si="7"/>
        <v>5.6648799861751522E-3</v>
      </c>
      <c r="F321" t="s">
        <v>22</v>
      </c>
    </row>
    <row r="322" spans="1:6" hidden="1" x14ac:dyDescent="0.25">
      <c r="A322">
        <v>20408</v>
      </c>
      <c r="B322">
        <v>3</v>
      </c>
      <c r="C322" s="7">
        <v>12.4815566666666</v>
      </c>
      <c r="D322">
        <v>3</v>
      </c>
      <c r="E322" s="3">
        <f t="shared" si="7"/>
        <v>5.6466437823948813E-3</v>
      </c>
    </row>
    <row r="323" spans="1:6" hidden="1" x14ac:dyDescent="0.25">
      <c r="A323">
        <v>20335</v>
      </c>
      <c r="B323">
        <v>7</v>
      </c>
      <c r="C323" s="7">
        <v>12.4054099999999</v>
      </c>
      <c r="D323">
        <v>12</v>
      </c>
      <c r="E323" s="3">
        <f t="shared" ref="E323:E386" si="8">$C323/SUMIF($B$2:$B$781,B323,$C$2:$C$781)</f>
        <v>1.6755419567204761E-3</v>
      </c>
    </row>
    <row r="324" spans="1:6" hidden="1" x14ac:dyDescent="0.25">
      <c r="A324">
        <v>20386</v>
      </c>
      <c r="B324">
        <v>4</v>
      </c>
      <c r="C324" s="7">
        <v>12.3275733333333</v>
      </c>
      <c r="D324">
        <v>12</v>
      </c>
      <c r="E324" s="3">
        <f t="shared" si="8"/>
        <v>3.3020602240344302E-3</v>
      </c>
      <c r="F324" t="s">
        <v>22</v>
      </c>
    </row>
    <row r="325" spans="1:6" x14ac:dyDescent="0.25">
      <c r="A325">
        <v>20453</v>
      </c>
      <c r="B325">
        <v>0</v>
      </c>
      <c r="C325" s="7">
        <v>12.1009233333333</v>
      </c>
      <c r="D325">
        <v>12</v>
      </c>
      <c r="E325" s="3">
        <f t="shared" si="8"/>
        <v>2.9094838087959363E-2</v>
      </c>
    </row>
    <row r="326" spans="1:6" hidden="1" x14ac:dyDescent="0.25">
      <c r="A326">
        <v>20419</v>
      </c>
      <c r="B326">
        <v>1</v>
      </c>
      <c r="C326" s="7">
        <v>12.045450000000001</v>
      </c>
      <c r="D326">
        <v>12</v>
      </c>
      <c r="E326" s="3">
        <f t="shared" si="8"/>
        <v>7.3271050151027762E-3</v>
      </c>
    </row>
    <row r="327" spans="1:6" hidden="1" x14ac:dyDescent="0.25">
      <c r="A327">
        <v>20417</v>
      </c>
      <c r="B327">
        <v>6</v>
      </c>
      <c r="C327" s="7">
        <v>12.04279</v>
      </c>
      <c r="D327">
        <v>12</v>
      </c>
      <c r="E327" s="3">
        <f t="shared" si="8"/>
        <v>2.3054192347489537E-3</v>
      </c>
    </row>
    <row r="328" spans="1:6" hidden="1" x14ac:dyDescent="0.25">
      <c r="A328">
        <v>20377</v>
      </c>
      <c r="B328">
        <v>6</v>
      </c>
      <c r="C328" s="7">
        <v>12.024569999999899</v>
      </c>
      <c r="D328">
        <v>12</v>
      </c>
      <c r="E328" s="3">
        <f t="shared" si="8"/>
        <v>2.3019312773522576E-3</v>
      </c>
    </row>
    <row r="329" spans="1:6" hidden="1" x14ac:dyDescent="0.25">
      <c r="A329">
        <v>20421</v>
      </c>
      <c r="B329">
        <v>2</v>
      </c>
      <c r="C329" s="7">
        <v>11.864489999999901</v>
      </c>
      <c r="D329">
        <v>12</v>
      </c>
      <c r="E329" s="3">
        <f t="shared" si="8"/>
        <v>1.1862089761493098E-3</v>
      </c>
    </row>
    <row r="330" spans="1:6" hidden="1" x14ac:dyDescent="0.25">
      <c r="A330">
        <v>20406</v>
      </c>
      <c r="B330">
        <v>2</v>
      </c>
      <c r="C330" s="7">
        <v>11.811916666666599</v>
      </c>
      <c r="D330">
        <v>12</v>
      </c>
      <c r="E330" s="3">
        <f t="shared" si="8"/>
        <v>1.1809527063976347E-3</v>
      </c>
    </row>
    <row r="331" spans="1:6" hidden="1" x14ac:dyDescent="0.25">
      <c r="A331">
        <v>20367</v>
      </c>
      <c r="B331">
        <v>3</v>
      </c>
      <c r="C331" s="7">
        <v>11.8086133333333</v>
      </c>
      <c r="D331">
        <v>12</v>
      </c>
      <c r="E331" s="3">
        <f t="shared" si="8"/>
        <v>5.3422048898312197E-3</v>
      </c>
      <c r="F331" t="s">
        <v>22</v>
      </c>
    </row>
    <row r="332" spans="1:6" hidden="1" x14ac:dyDescent="0.25">
      <c r="A332">
        <v>20633</v>
      </c>
      <c r="B332">
        <v>6</v>
      </c>
      <c r="C332" s="7">
        <v>11.807733333333299</v>
      </c>
      <c r="D332">
        <v>0</v>
      </c>
      <c r="E332" s="3">
        <f t="shared" si="8"/>
        <v>2.2604210108664994E-3</v>
      </c>
    </row>
    <row r="333" spans="1:6" hidden="1" x14ac:dyDescent="0.25">
      <c r="A333">
        <v>20662</v>
      </c>
      <c r="B333">
        <v>6</v>
      </c>
      <c r="C333" s="7">
        <v>11.7959866666666</v>
      </c>
      <c r="D333">
        <v>0</v>
      </c>
      <c r="E333" s="3">
        <f t="shared" si="8"/>
        <v>2.2581722801921626E-3</v>
      </c>
    </row>
    <row r="334" spans="1:6" hidden="1" x14ac:dyDescent="0.25">
      <c r="A334">
        <v>20463</v>
      </c>
      <c r="B334">
        <v>7</v>
      </c>
      <c r="C334" s="7">
        <v>11.795963333333299</v>
      </c>
      <c r="D334">
        <v>12</v>
      </c>
      <c r="E334" s="3">
        <f t="shared" si="8"/>
        <v>1.5932267845187242E-3</v>
      </c>
    </row>
    <row r="335" spans="1:6" hidden="1" x14ac:dyDescent="0.25">
      <c r="A335">
        <v>20659</v>
      </c>
      <c r="B335">
        <v>6</v>
      </c>
      <c r="C335" s="7">
        <v>11.7437133333333</v>
      </c>
      <c r="D335">
        <v>0</v>
      </c>
      <c r="E335" s="3">
        <f t="shared" si="8"/>
        <v>2.2481653010676382E-3</v>
      </c>
    </row>
    <row r="336" spans="1:6" hidden="1" x14ac:dyDescent="0.25">
      <c r="A336">
        <v>20328</v>
      </c>
      <c r="B336">
        <v>2</v>
      </c>
      <c r="C336" s="7">
        <v>11.678940000000001</v>
      </c>
      <c r="D336">
        <v>12</v>
      </c>
      <c r="E336" s="3">
        <f t="shared" si="8"/>
        <v>1.1676577299074243E-3</v>
      </c>
    </row>
    <row r="337" spans="1:6" hidden="1" x14ac:dyDescent="0.25">
      <c r="A337">
        <v>20540</v>
      </c>
      <c r="B337">
        <v>2</v>
      </c>
      <c r="C337" s="7">
        <v>11.5845633333333</v>
      </c>
      <c r="D337">
        <v>4</v>
      </c>
      <c r="E337" s="3">
        <f t="shared" si="8"/>
        <v>1.1582219725222278E-3</v>
      </c>
    </row>
    <row r="338" spans="1:6" hidden="1" x14ac:dyDescent="0.25">
      <c r="A338">
        <v>20611</v>
      </c>
      <c r="B338">
        <v>7</v>
      </c>
      <c r="C338" s="7">
        <v>11.5646233333333</v>
      </c>
      <c r="D338">
        <v>4</v>
      </c>
      <c r="E338" s="3">
        <f t="shared" si="8"/>
        <v>1.5619807494205115E-3</v>
      </c>
    </row>
    <row r="339" spans="1:6" hidden="1" x14ac:dyDescent="0.25">
      <c r="A339">
        <v>20341</v>
      </c>
      <c r="B339">
        <v>7</v>
      </c>
      <c r="C339" s="7">
        <v>11.554606666666601</v>
      </c>
      <c r="D339">
        <v>12</v>
      </c>
      <c r="E339" s="3">
        <f t="shared" si="8"/>
        <v>1.5606278440940017E-3</v>
      </c>
    </row>
    <row r="340" spans="1:6" hidden="1" x14ac:dyDescent="0.25">
      <c r="A340">
        <v>20649</v>
      </c>
      <c r="B340">
        <v>2</v>
      </c>
      <c r="C340" s="7">
        <v>11.5315466666666</v>
      </c>
      <c r="D340">
        <v>0</v>
      </c>
      <c r="E340" s="3">
        <f t="shared" si="8"/>
        <v>1.152921378406041E-3</v>
      </c>
    </row>
    <row r="341" spans="1:6" hidden="1" x14ac:dyDescent="0.25">
      <c r="A341">
        <v>20503</v>
      </c>
      <c r="B341">
        <v>3</v>
      </c>
      <c r="C341" s="7">
        <v>11.500159999999999</v>
      </c>
      <c r="D341">
        <v>5</v>
      </c>
      <c r="E341" s="3">
        <f t="shared" si="8"/>
        <v>5.2026609095938078E-3</v>
      </c>
    </row>
    <row r="342" spans="1:6" hidden="1" x14ac:dyDescent="0.25">
      <c r="A342">
        <v>20686</v>
      </c>
      <c r="B342">
        <v>6</v>
      </c>
      <c r="C342" s="7">
        <v>11.4897266666666</v>
      </c>
      <c r="D342">
        <v>0</v>
      </c>
      <c r="E342" s="3">
        <f t="shared" si="8"/>
        <v>2.199543200482709E-3</v>
      </c>
    </row>
    <row r="343" spans="1:6" hidden="1" x14ac:dyDescent="0.25">
      <c r="A343">
        <v>20372</v>
      </c>
      <c r="B343">
        <v>7</v>
      </c>
      <c r="C343" s="7">
        <v>11.4854933333333</v>
      </c>
      <c r="D343">
        <v>12</v>
      </c>
      <c r="E343" s="3">
        <f t="shared" si="8"/>
        <v>1.5512930224501581E-3</v>
      </c>
    </row>
    <row r="344" spans="1:6" hidden="1" x14ac:dyDescent="0.25">
      <c r="A344">
        <v>20510</v>
      </c>
      <c r="B344">
        <v>6</v>
      </c>
      <c r="C344" s="7">
        <v>11.368426666666601</v>
      </c>
      <c r="D344">
        <v>0</v>
      </c>
      <c r="E344" s="3">
        <f t="shared" si="8"/>
        <v>2.1763220571118583E-3</v>
      </c>
    </row>
    <row r="345" spans="1:6" hidden="1" x14ac:dyDescent="0.25">
      <c r="A345">
        <v>20242</v>
      </c>
      <c r="B345">
        <v>2</v>
      </c>
      <c r="C345" s="7">
        <v>11.30147</v>
      </c>
      <c r="D345">
        <v>12</v>
      </c>
      <c r="E345" s="3">
        <f t="shared" si="8"/>
        <v>1.129918366291535E-3</v>
      </c>
    </row>
    <row r="346" spans="1:6" hidden="1" x14ac:dyDescent="0.25">
      <c r="A346">
        <v>20400</v>
      </c>
      <c r="B346">
        <v>4</v>
      </c>
      <c r="C346" s="7">
        <v>11.2623866666666</v>
      </c>
      <c r="D346">
        <v>12</v>
      </c>
      <c r="E346" s="3">
        <f t="shared" si="8"/>
        <v>3.0167396318898877E-3</v>
      </c>
      <c r="F346" t="s">
        <v>22</v>
      </c>
    </row>
    <row r="347" spans="1:6" hidden="1" x14ac:dyDescent="0.25">
      <c r="A347">
        <v>20558</v>
      </c>
      <c r="B347">
        <v>2</v>
      </c>
      <c r="C347" s="7">
        <v>11.2112</v>
      </c>
      <c r="D347">
        <v>2</v>
      </c>
      <c r="E347" s="3">
        <f t="shared" si="8"/>
        <v>1.1208931924933355E-3</v>
      </c>
    </row>
    <row r="348" spans="1:6" hidden="1" x14ac:dyDescent="0.25">
      <c r="A348">
        <v>20479</v>
      </c>
      <c r="B348">
        <v>2</v>
      </c>
      <c r="C348" s="7">
        <v>11.0138933333333</v>
      </c>
      <c r="D348">
        <v>12</v>
      </c>
      <c r="E348" s="3">
        <f t="shared" si="8"/>
        <v>1.1011665174273074E-3</v>
      </c>
    </row>
    <row r="349" spans="1:6" hidden="1" x14ac:dyDescent="0.25">
      <c r="A349">
        <v>20281</v>
      </c>
      <c r="B349">
        <v>3</v>
      </c>
      <c r="C349" s="7">
        <v>10.986413333333299</v>
      </c>
      <c r="D349">
        <v>12</v>
      </c>
      <c r="E349" s="3">
        <f t="shared" si="8"/>
        <v>4.9702424301899598E-3</v>
      </c>
      <c r="F349" t="s">
        <v>22</v>
      </c>
    </row>
    <row r="350" spans="1:6" hidden="1" x14ac:dyDescent="0.25">
      <c r="A350">
        <v>20382</v>
      </c>
      <c r="B350">
        <v>7</v>
      </c>
      <c r="C350" s="7">
        <v>10.9679933333333</v>
      </c>
      <c r="D350">
        <v>12</v>
      </c>
      <c r="E350" s="3">
        <f t="shared" si="8"/>
        <v>1.4813966657313674E-3</v>
      </c>
    </row>
    <row r="351" spans="1:6" hidden="1" x14ac:dyDescent="0.25">
      <c r="A351">
        <v>20703</v>
      </c>
      <c r="B351">
        <v>6</v>
      </c>
      <c r="C351" s="7">
        <v>10.9383966666666</v>
      </c>
      <c r="D351">
        <v>0</v>
      </c>
      <c r="E351" s="3">
        <f t="shared" si="8"/>
        <v>2.0939989879958897E-3</v>
      </c>
    </row>
    <row r="352" spans="1:6" hidden="1" x14ac:dyDescent="0.25">
      <c r="A352">
        <v>20474</v>
      </c>
      <c r="B352">
        <v>6</v>
      </c>
      <c r="C352" s="7">
        <v>10.84219</v>
      </c>
      <c r="D352">
        <v>12</v>
      </c>
      <c r="E352" s="3">
        <f t="shared" si="8"/>
        <v>2.0755816030008627E-3</v>
      </c>
    </row>
    <row r="353" spans="1:6" hidden="1" x14ac:dyDescent="0.25">
      <c r="A353">
        <v>20694</v>
      </c>
      <c r="B353">
        <v>6</v>
      </c>
      <c r="C353" s="7">
        <v>10.8389699999999</v>
      </c>
      <c r="D353">
        <v>0</v>
      </c>
      <c r="E353" s="3">
        <f t="shared" si="8"/>
        <v>2.0749651802337032E-3</v>
      </c>
    </row>
    <row r="354" spans="1:6" hidden="1" x14ac:dyDescent="0.25">
      <c r="A354">
        <v>20720</v>
      </c>
      <c r="B354">
        <v>6</v>
      </c>
      <c r="C354" s="7">
        <v>10.778879999999999</v>
      </c>
      <c r="D354">
        <v>0</v>
      </c>
      <c r="E354" s="3">
        <f t="shared" si="8"/>
        <v>2.0634618125077993E-3</v>
      </c>
    </row>
    <row r="355" spans="1:6" hidden="1" x14ac:dyDescent="0.25">
      <c r="A355">
        <v>20401</v>
      </c>
      <c r="B355">
        <v>6</v>
      </c>
      <c r="C355" s="7">
        <v>10.767293333333299</v>
      </c>
      <c r="D355">
        <v>12</v>
      </c>
      <c r="E355" s="3">
        <f t="shared" si="8"/>
        <v>2.061243711536178E-3</v>
      </c>
    </row>
    <row r="356" spans="1:6" hidden="1" x14ac:dyDescent="0.25">
      <c r="A356">
        <v>20627</v>
      </c>
      <c r="B356">
        <v>4</v>
      </c>
      <c r="C356" s="7">
        <v>10.578866666666601</v>
      </c>
      <c r="D356">
        <v>2</v>
      </c>
      <c r="E356" s="3">
        <f t="shared" si="8"/>
        <v>2.8336521625800032E-3</v>
      </c>
    </row>
    <row r="357" spans="1:6" hidden="1" x14ac:dyDescent="0.25">
      <c r="A357">
        <v>20366</v>
      </c>
      <c r="B357">
        <v>2</v>
      </c>
      <c r="C357" s="7">
        <v>10.46518</v>
      </c>
      <c r="D357">
        <v>12</v>
      </c>
      <c r="E357" s="3">
        <f t="shared" si="8"/>
        <v>1.0463062848060337E-3</v>
      </c>
    </row>
    <row r="358" spans="1:6" hidden="1" x14ac:dyDescent="0.25">
      <c r="A358">
        <v>20396</v>
      </c>
      <c r="B358">
        <v>3</v>
      </c>
      <c r="C358" s="7">
        <v>10.43313</v>
      </c>
      <c r="D358">
        <v>12</v>
      </c>
      <c r="E358" s="3">
        <f t="shared" si="8"/>
        <v>4.719937602234269E-3</v>
      </c>
      <c r="F358" t="s">
        <v>22</v>
      </c>
    </row>
    <row r="359" spans="1:6" hidden="1" x14ac:dyDescent="0.25">
      <c r="A359">
        <v>20541</v>
      </c>
      <c r="B359">
        <v>2</v>
      </c>
      <c r="C359" s="7">
        <v>10.4269833333333</v>
      </c>
      <c r="D359">
        <v>9</v>
      </c>
      <c r="E359" s="3">
        <f t="shared" si="8"/>
        <v>1.0424873908747292E-3</v>
      </c>
    </row>
    <row r="360" spans="1:6" hidden="1" x14ac:dyDescent="0.25">
      <c r="A360">
        <v>20691</v>
      </c>
      <c r="B360">
        <v>2</v>
      </c>
      <c r="C360" s="7">
        <v>10.413309999999999</v>
      </c>
      <c r="D360">
        <v>0</v>
      </c>
      <c r="E360" s="3">
        <f t="shared" si="8"/>
        <v>1.0411203341589459E-3</v>
      </c>
    </row>
    <row r="361" spans="1:6" hidden="1" x14ac:dyDescent="0.25">
      <c r="A361">
        <v>20488</v>
      </c>
      <c r="B361">
        <v>2</v>
      </c>
      <c r="C361" s="7">
        <v>10.357336666666599</v>
      </c>
      <c r="D361">
        <v>9</v>
      </c>
      <c r="E361" s="3">
        <f t="shared" si="8"/>
        <v>1.0355241331907563E-3</v>
      </c>
    </row>
    <row r="362" spans="1:6" hidden="1" x14ac:dyDescent="0.25">
      <c r="A362">
        <v>20450</v>
      </c>
      <c r="B362">
        <v>2</v>
      </c>
      <c r="C362" s="7">
        <v>10.2860533333333</v>
      </c>
      <c r="D362">
        <v>12</v>
      </c>
      <c r="E362" s="3">
        <f t="shared" si="8"/>
        <v>1.0283972419506098E-3</v>
      </c>
    </row>
    <row r="363" spans="1:6" hidden="1" x14ac:dyDescent="0.25">
      <c r="A363">
        <v>20513</v>
      </c>
      <c r="B363">
        <v>1</v>
      </c>
      <c r="C363" s="7">
        <v>10.282273333333301</v>
      </c>
      <c r="D363">
        <v>10</v>
      </c>
      <c r="E363" s="3">
        <f t="shared" si="8"/>
        <v>6.254585466489335E-3</v>
      </c>
    </row>
    <row r="364" spans="1:6" hidden="1" x14ac:dyDescent="0.25">
      <c r="A364">
        <v>20410</v>
      </c>
      <c r="B364">
        <v>2</v>
      </c>
      <c r="C364" s="7">
        <v>10.012593333333299</v>
      </c>
      <c r="D364">
        <v>12</v>
      </c>
      <c r="E364" s="3">
        <f t="shared" si="8"/>
        <v>1.0010567741666771E-3</v>
      </c>
    </row>
    <row r="365" spans="1:6" hidden="1" x14ac:dyDescent="0.25">
      <c r="A365">
        <v>20553</v>
      </c>
      <c r="B365">
        <v>3</v>
      </c>
      <c r="C365" s="7">
        <v>9.8846666666666607</v>
      </c>
      <c r="D365">
        <v>4</v>
      </c>
      <c r="E365" s="3">
        <f t="shared" si="8"/>
        <v>4.4718133374693535E-3</v>
      </c>
    </row>
    <row r="366" spans="1:6" hidden="1" x14ac:dyDescent="0.25">
      <c r="A366">
        <v>20593</v>
      </c>
      <c r="B366">
        <v>6</v>
      </c>
      <c r="C366" s="7">
        <v>9.8637533333333298</v>
      </c>
      <c r="D366">
        <v>0</v>
      </c>
      <c r="E366" s="3">
        <f t="shared" si="8"/>
        <v>1.8882739515914309E-3</v>
      </c>
    </row>
    <row r="367" spans="1:6" hidden="1" x14ac:dyDescent="0.25">
      <c r="A367">
        <v>20271</v>
      </c>
      <c r="B367">
        <v>2</v>
      </c>
      <c r="C367" s="7">
        <v>9.7682366666666596</v>
      </c>
      <c r="D367">
        <v>12</v>
      </c>
      <c r="E367" s="3">
        <f t="shared" si="8"/>
        <v>9.7662605094284735E-4</v>
      </c>
    </row>
    <row r="368" spans="1:6" hidden="1" x14ac:dyDescent="0.25">
      <c r="A368">
        <v>20559</v>
      </c>
      <c r="B368">
        <v>2</v>
      </c>
      <c r="C368" s="7">
        <v>9.7624399999999998</v>
      </c>
      <c r="D368">
        <v>4</v>
      </c>
      <c r="E368" s="3">
        <f t="shared" si="8"/>
        <v>9.7604650154529743E-4</v>
      </c>
    </row>
    <row r="369" spans="1:6" hidden="1" x14ac:dyDescent="0.25">
      <c r="A369">
        <v>20358</v>
      </c>
      <c r="B369">
        <v>2</v>
      </c>
      <c r="C369" s="7">
        <v>9.7115200000000002</v>
      </c>
      <c r="D369">
        <v>12</v>
      </c>
      <c r="E369" s="3">
        <f t="shared" si="8"/>
        <v>9.7095553167929197E-4</v>
      </c>
    </row>
    <row r="370" spans="1:6" hidden="1" x14ac:dyDescent="0.25">
      <c r="A370">
        <v>20249</v>
      </c>
      <c r="B370">
        <v>2</v>
      </c>
      <c r="C370" s="7">
        <v>9.6603866666666605</v>
      </c>
      <c r="D370">
        <v>12</v>
      </c>
      <c r="E370" s="3">
        <f t="shared" si="8"/>
        <v>9.658432327957797E-4</v>
      </c>
    </row>
    <row r="371" spans="1:6" hidden="1" x14ac:dyDescent="0.25">
      <c r="A371">
        <v>20285</v>
      </c>
      <c r="B371">
        <v>2</v>
      </c>
      <c r="C371" s="7">
        <v>9.57179</v>
      </c>
      <c r="D371">
        <v>12</v>
      </c>
      <c r="E371" s="3">
        <f t="shared" si="8"/>
        <v>9.5698535847864492E-4</v>
      </c>
    </row>
    <row r="372" spans="1:6" hidden="1" x14ac:dyDescent="0.25">
      <c r="A372">
        <v>20571</v>
      </c>
      <c r="B372">
        <v>2</v>
      </c>
      <c r="C372" s="7">
        <v>9.5704833333333301</v>
      </c>
      <c r="D372">
        <v>9</v>
      </c>
      <c r="E372" s="3">
        <f t="shared" si="8"/>
        <v>9.568547182464193E-4</v>
      </c>
    </row>
    <row r="373" spans="1:6" hidden="1" x14ac:dyDescent="0.25">
      <c r="A373">
        <v>20434</v>
      </c>
      <c r="B373">
        <v>2</v>
      </c>
      <c r="C373" s="7">
        <v>9.5574999999999992</v>
      </c>
      <c r="D373">
        <v>12</v>
      </c>
      <c r="E373" s="3">
        <f t="shared" si="8"/>
        <v>9.5555664757162955E-4</v>
      </c>
    </row>
    <row r="374" spans="1:6" hidden="1" x14ac:dyDescent="0.25">
      <c r="A374">
        <v>20500</v>
      </c>
      <c r="B374">
        <v>7</v>
      </c>
      <c r="C374" s="7">
        <v>9.5503599999999995</v>
      </c>
      <c r="D374">
        <v>12</v>
      </c>
      <c r="E374" s="3">
        <f t="shared" si="8"/>
        <v>1.2899234190393621E-3</v>
      </c>
    </row>
    <row r="375" spans="1:6" hidden="1" x14ac:dyDescent="0.25">
      <c r="A375">
        <v>20709</v>
      </c>
      <c r="B375">
        <v>6</v>
      </c>
      <c r="C375" s="7">
        <v>9.4133966666666602</v>
      </c>
      <c r="D375">
        <v>3</v>
      </c>
      <c r="E375" s="3">
        <f t="shared" si="8"/>
        <v>1.8020596339930368E-3</v>
      </c>
    </row>
    <row r="376" spans="1:6" hidden="1" x14ac:dyDescent="0.25">
      <c r="A376">
        <v>20469</v>
      </c>
      <c r="B376">
        <v>7</v>
      </c>
      <c r="C376" s="7">
        <v>9.4081266666666608</v>
      </c>
      <c r="D376">
        <v>12</v>
      </c>
      <c r="E376" s="3">
        <f t="shared" si="8"/>
        <v>1.2707126136210633E-3</v>
      </c>
    </row>
    <row r="377" spans="1:6" hidden="1" x14ac:dyDescent="0.25">
      <c r="A377">
        <v>20711</v>
      </c>
      <c r="B377">
        <v>6</v>
      </c>
      <c r="C377" s="7">
        <v>9.3588033333333307</v>
      </c>
      <c r="D377">
        <v>0</v>
      </c>
      <c r="E377" s="3">
        <f t="shared" si="8"/>
        <v>1.7916085241791383E-3</v>
      </c>
    </row>
    <row r="378" spans="1:6" hidden="1" x14ac:dyDescent="0.25">
      <c r="A378">
        <v>20385</v>
      </c>
      <c r="B378">
        <v>3</v>
      </c>
      <c r="C378" s="7">
        <v>9.2971533333333305</v>
      </c>
      <c r="D378">
        <v>12</v>
      </c>
      <c r="E378" s="3">
        <f t="shared" si="8"/>
        <v>4.2060228916669931E-3</v>
      </c>
      <c r="F378" t="s">
        <v>22</v>
      </c>
    </row>
    <row r="379" spans="1:6" hidden="1" x14ac:dyDescent="0.25">
      <c r="A379">
        <v>20407</v>
      </c>
      <c r="B379">
        <v>3</v>
      </c>
      <c r="C379" s="7">
        <v>9.2379766666666594</v>
      </c>
      <c r="D379">
        <v>12</v>
      </c>
      <c r="E379" s="3">
        <f t="shared" si="8"/>
        <v>4.1792514267111362E-3</v>
      </c>
      <c r="F379" t="s">
        <v>22</v>
      </c>
    </row>
    <row r="380" spans="1:6" hidden="1" x14ac:dyDescent="0.25">
      <c r="A380">
        <v>20404</v>
      </c>
      <c r="B380">
        <v>4</v>
      </c>
      <c r="C380" s="7">
        <v>9.1865500000000004</v>
      </c>
      <c r="D380">
        <v>12</v>
      </c>
      <c r="E380" s="3">
        <f t="shared" si="8"/>
        <v>2.4607066233449226E-3</v>
      </c>
      <c r="F380" t="s">
        <v>22</v>
      </c>
    </row>
    <row r="381" spans="1:6" hidden="1" x14ac:dyDescent="0.25">
      <c r="A381">
        <v>20681</v>
      </c>
      <c r="B381">
        <v>6</v>
      </c>
      <c r="C381" s="7">
        <v>9.1252200000000006</v>
      </c>
      <c r="D381">
        <v>0</v>
      </c>
      <c r="E381" s="3">
        <f t="shared" si="8"/>
        <v>1.7468923488091919E-3</v>
      </c>
    </row>
    <row r="382" spans="1:6" hidden="1" x14ac:dyDescent="0.25">
      <c r="A382">
        <v>20383</v>
      </c>
      <c r="B382">
        <v>3</v>
      </c>
      <c r="C382" s="7">
        <v>9.1244833333333304</v>
      </c>
      <c r="D382">
        <v>12</v>
      </c>
      <c r="E382" s="3">
        <f t="shared" si="8"/>
        <v>4.1279071559503109E-3</v>
      </c>
      <c r="F382" t="s">
        <v>22</v>
      </c>
    </row>
    <row r="383" spans="1:6" hidden="1" x14ac:dyDescent="0.25">
      <c r="A383">
        <v>20481</v>
      </c>
      <c r="B383">
        <v>3</v>
      </c>
      <c r="C383" s="7">
        <v>9.0453799999999998</v>
      </c>
      <c r="D383">
        <v>9</v>
      </c>
      <c r="E383" s="3">
        <f t="shared" si="8"/>
        <v>4.0921208868764988E-3</v>
      </c>
    </row>
    <row r="384" spans="1:6" hidden="1" x14ac:dyDescent="0.25">
      <c r="A384">
        <v>20754</v>
      </c>
      <c r="B384">
        <v>6</v>
      </c>
      <c r="C384" s="7">
        <v>8.99193</v>
      </c>
      <c r="D384">
        <v>0</v>
      </c>
      <c r="E384" s="3">
        <f t="shared" si="8"/>
        <v>1.7213758920911317E-3</v>
      </c>
    </row>
    <row r="385" spans="1:6" hidden="1" x14ac:dyDescent="0.25">
      <c r="A385">
        <v>20411</v>
      </c>
      <c r="B385">
        <v>4</v>
      </c>
      <c r="C385" s="7">
        <v>8.9228166666666606</v>
      </c>
      <c r="D385">
        <v>12</v>
      </c>
      <c r="E385" s="3">
        <f t="shared" si="8"/>
        <v>2.3900630890333276E-3</v>
      </c>
      <c r="F385" t="s">
        <v>22</v>
      </c>
    </row>
    <row r="386" spans="1:6" hidden="1" x14ac:dyDescent="0.25">
      <c r="A386">
        <v>20426</v>
      </c>
      <c r="B386">
        <v>7</v>
      </c>
      <c r="C386" s="7">
        <v>8.9094633333333295</v>
      </c>
      <c r="D386">
        <v>11</v>
      </c>
      <c r="E386" s="3">
        <f t="shared" si="8"/>
        <v>1.203360439265029E-3</v>
      </c>
    </row>
    <row r="387" spans="1:6" hidden="1" x14ac:dyDescent="0.25">
      <c r="A387">
        <v>20278</v>
      </c>
      <c r="B387">
        <v>2</v>
      </c>
      <c r="C387" s="7">
        <v>8.7972199999999994</v>
      </c>
      <c r="D387">
        <v>12</v>
      </c>
      <c r="E387" s="3">
        <f t="shared" ref="E387:E450" si="9">$C387/SUMIF($B$2:$B$781,B387,$C$2:$C$781)</f>
        <v>8.7954402837039924E-4</v>
      </c>
    </row>
    <row r="388" spans="1:6" hidden="1" x14ac:dyDescent="0.25">
      <c r="A388">
        <v>20470</v>
      </c>
      <c r="B388">
        <v>4</v>
      </c>
      <c r="C388" s="7">
        <v>8.7482266666666604</v>
      </c>
      <c r="D388">
        <v>12</v>
      </c>
      <c r="E388" s="3">
        <f t="shared" si="9"/>
        <v>2.3432974621799617E-3</v>
      </c>
    </row>
    <row r="389" spans="1:6" hidden="1" x14ac:dyDescent="0.25">
      <c r="A389">
        <v>20719</v>
      </c>
      <c r="B389">
        <v>6</v>
      </c>
      <c r="C389" s="7">
        <v>8.7470800000000004</v>
      </c>
      <c r="D389">
        <v>0</v>
      </c>
      <c r="E389" s="3">
        <f t="shared" si="9"/>
        <v>1.6745028751549997E-3</v>
      </c>
    </row>
    <row r="390" spans="1:6" hidden="1" x14ac:dyDescent="0.25">
      <c r="A390">
        <v>20390</v>
      </c>
      <c r="B390">
        <v>2</v>
      </c>
      <c r="C390" s="7">
        <v>8.7234800000000003</v>
      </c>
      <c r="D390">
        <v>12</v>
      </c>
      <c r="E390" s="3">
        <f t="shared" si="9"/>
        <v>8.7217152016303009E-4</v>
      </c>
    </row>
    <row r="391" spans="1:6" hidden="1" x14ac:dyDescent="0.25">
      <c r="A391">
        <v>20384</v>
      </c>
      <c r="B391">
        <v>2</v>
      </c>
      <c r="C391" s="7">
        <v>8.7078299999999995</v>
      </c>
      <c r="D391">
        <v>12</v>
      </c>
      <c r="E391" s="3">
        <f t="shared" si="9"/>
        <v>8.7060683676941288E-4</v>
      </c>
    </row>
    <row r="392" spans="1:6" hidden="1" x14ac:dyDescent="0.25">
      <c r="A392">
        <v>20674</v>
      </c>
      <c r="B392">
        <v>6</v>
      </c>
      <c r="C392" s="7">
        <v>8.6802299999999999</v>
      </c>
      <c r="D392">
        <v>0</v>
      </c>
      <c r="E392" s="3">
        <f t="shared" si="9"/>
        <v>1.6617054024893659E-3</v>
      </c>
    </row>
    <row r="393" spans="1:6" hidden="1" x14ac:dyDescent="0.25">
      <c r="A393">
        <v>20679</v>
      </c>
      <c r="B393">
        <v>1</v>
      </c>
      <c r="C393" s="7">
        <v>8.6403699999999901</v>
      </c>
      <c r="D393">
        <v>5</v>
      </c>
      <c r="E393" s="3">
        <f t="shared" si="9"/>
        <v>5.2558350546757079E-3</v>
      </c>
    </row>
    <row r="394" spans="1:6" hidden="1" x14ac:dyDescent="0.25">
      <c r="A394">
        <v>20388</v>
      </c>
      <c r="B394">
        <v>2</v>
      </c>
      <c r="C394" s="7">
        <v>8.5831199999999992</v>
      </c>
      <c r="D394">
        <v>12</v>
      </c>
      <c r="E394" s="3">
        <f t="shared" si="9"/>
        <v>8.5813835970756001E-4</v>
      </c>
    </row>
    <row r="395" spans="1:6" hidden="1" x14ac:dyDescent="0.25">
      <c r="A395">
        <v>20466</v>
      </c>
      <c r="B395">
        <v>6</v>
      </c>
      <c r="C395" s="7">
        <v>8.4961533333333303</v>
      </c>
      <c r="D395">
        <v>12</v>
      </c>
      <c r="E395" s="3">
        <f t="shared" si="9"/>
        <v>1.6264665676345015E-3</v>
      </c>
    </row>
    <row r="396" spans="1:6" hidden="1" x14ac:dyDescent="0.25">
      <c r="A396">
        <v>20620</v>
      </c>
      <c r="B396">
        <v>2</v>
      </c>
      <c r="C396" s="7">
        <v>8.4896933333333298</v>
      </c>
      <c r="D396">
        <v>0</v>
      </c>
      <c r="E396" s="3">
        <f t="shared" si="9"/>
        <v>8.4879758310344865E-4</v>
      </c>
    </row>
    <row r="397" spans="1:6" hidden="1" x14ac:dyDescent="0.25">
      <c r="A397">
        <v>20538</v>
      </c>
      <c r="B397">
        <v>7</v>
      </c>
      <c r="C397" s="7">
        <v>8.4497333333333309</v>
      </c>
      <c r="D397">
        <v>12</v>
      </c>
      <c r="E397" s="3">
        <f t="shared" si="9"/>
        <v>1.1412668120682568E-3</v>
      </c>
    </row>
    <row r="398" spans="1:6" hidden="1" x14ac:dyDescent="0.25">
      <c r="A398">
        <v>20228</v>
      </c>
      <c r="B398">
        <v>2</v>
      </c>
      <c r="C398" s="7">
        <v>8.3116000000000003</v>
      </c>
      <c r="D398">
        <v>12</v>
      </c>
      <c r="E398" s="3">
        <f t="shared" si="9"/>
        <v>8.309918526765741E-4</v>
      </c>
    </row>
    <row r="399" spans="1:6" hidden="1" x14ac:dyDescent="0.25">
      <c r="A399">
        <v>20322</v>
      </c>
      <c r="B399">
        <v>3</v>
      </c>
      <c r="C399" s="7">
        <v>8.2903133333333301</v>
      </c>
      <c r="D399">
        <v>12</v>
      </c>
      <c r="E399" s="3">
        <f t="shared" si="9"/>
        <v>3.7505294802522449E-3</v>
      </c>
      <c r="F399" t="s">
        <v>22</v>
      </c>
    </row>
    <row r="400" spans="1:6" hidden="1" x14ac:dyDescent="0.25">
      <c r="A400">
        <v>20477</v>
      </c>
      <c r="B400">
        <v>3</v>
      </c>
      <c r="C400" s="7">
        <v>8.2063433333333293</v>
      </c>
      <c r="D400">
        <v>3</v>
      </c>
      <c r="E400" s="3">
        <f t="shared" si="9"/>
        <v>3.7125415360341999E-3</v>
      </c>
    </row>
    <row r="401" spans="1:5" hidden="1" x14ac:dyDescent="0.25">
      <c r="A401">
        <v>20447</v>
      </c>
      <c r="B401">
        <v>2</v>
      </c>
      <c r="C401" s="7">
        <v>8.1925766666666604</v>
      </c>
      <c r="D401">
        <v>12</v>
      </c>
      <c r="E401" s="3">
        <f t="shared" si="9"/>
        <v>8.1909192723761967E-4</v>
      </c>
    </row>
    <row r="402" spans="1:5" hidden="1" x14ac:dyDescent="0.25">
      <c r="A402">
        <v>20432</v>
      </c>
      <c r="B402">
        <v>2</v>
      </c>
      <c r="C402" s="7">
        <v>8.1683433333333308</v>
      </c>
      <c r="D402">
        <v>12</v>
      </c>
      <c r="E402" s="3">
        <f t="shared" si="9"/>
        <v>8.1666908415527781E-4</v>
      </c>
    </row>
    <row r="403" spans="1:5" hidden="1" x14ac:dyDescent="0.25">
      <c r="A403">
        <v>20542</v>
      </c>
      <c r="B403">
        <v>2</v>
      </c>
      <c r="C403" s="7">
        <v>8.1035266666666601</v>
      </c>
      <c r="D403">
        <v>12</v>
      </c>
      <c r="E403" s="3">
        <f t="shared" si="9"/>
        <v>8.1018872875828374E-4</v>
      </c>
    </row>
    <row r="404" spans="1:5" hidden="1" x14ac:dyDescent="0.25">
      <c r="A404">
        <v>20473</v>
      </c>
      <c r="B404">
        <v>7</v>
      </c>
      <c r="C404" s="7">
        <v>7.9943499999999998</v>
      </c>
      <c r="D404">
        <v>12</v>
      </c>
      <c r="E404" s="3">
        <f t="shared" si="9"/>
        <v>1.0797602692461149E-3</v>
      </c>
    </row>
    <row r="405" spans="1:5" hidden="1" x14ac:dyDescent="0.25">
      <c r="A405">
        <v>20576</v>
      </c>
      <c r="B405">
        <v>1</v>
      </c>
      <c r="C405" s="7">
        <v>7.9806099999999898</v>
      </c>
      <c r="D405">
        <v>10</v>
      </c>
      <c r="E405" s="3">
        <f t="shared" si="9"/>
        <v>4.8545108364219927E-3</v>
      </c>
    </row>
    <row r="406" spans="1:5" hidden="1" x14ac:dyDescent="0.25">
      <c r="A406">
        <v>20762</v>
      </c>
      <c r="B406">
        <v>6</v>
      </c>
      <c r="C406" s="7">
        <v>7.9554099999999996</v>
      </c>
      <c r="D406">
        <v>0</v>
      </c>
      <c r="E406" s="3">
        <f t="shared" si="9"/>
        <v>1.522949020477329E-3</v>
      </c>
    </row>
    <row r="407" spans="1:5" hidden="1" x14ac:dyDescent="0.25">
      <c r="A407">
        <v>20732</v>
      </c>
      <c r="B407">
        <v>6</v>
      </c>
      <c r="C407" s="7">
        <v>7.9430766666666601</v>
      </c>
      <c r="D407">
        <v>0</v>
      </c>
      <c r="E407" s="3">
        <f t="shared" si="9"/>
        <v>1.5205879808930425E-3</v>
      </c>
    </row>
    <row r="408" spans="1:5" hidden="1" x14ac:dyDescent="0.25">
      <c r="A408">
        <v>20815</v>
      </c>
      <c r="B408">
        <v>6</v>
      </c>
      <c r="C408" s="7">
        <v>7.9099166666666596</v>
      </c>
      <c r="D408">
        <v>0</v>
      </c>
      <c r="E408" s="3">
        <f t="shared" si="9"/>
        <v>1.5142399750053472E-3</v>
      </c>
    </row>
    <row r="409" spans="1:5" hidden="1" x14ac:dyDescent="0.25">
      <c r="A409">
        <v>20567</v>
      </c>
      <c r="B409">
        <v>7</v>
      </c>
      <c r="C409" s="7">
        <v>7.79298</v>
      </c>
      <c r="D409">
        <v>12</v>
      </c>
      <c r="E409" s="3">
        <f t="shared" si="9"/>
        <v>1.0525621448935296E-3</v>
      </c>
    </row>
    <row r="410" spans="1:5" x14ac:dyDescent="0.25">
      <c r="A410">
        <v>20604</v>
      </c>
      <c r="B410">
        <v>0</v>
      </c>
      <c r="C410" s="7">
        <v>7.7572099999999997</v>
      </c>
      <c r="D410">
        <v>10</v>
      </c>
      <c r="E410" s="3">
        <f t="shared" si="9"/>
        <v>1.8651037011580648E-2</v>
      </c>
    </row>
    <row r="411" spans="1:5" hidden="1" x14ac:dyDescent="0.25">
      <c r="A411">
        <v>20443</v>
      </c>
      <c r="B411">
        <v>2</v>
      </c>
      <c r="C411" s="7">
        <v>7.7506266666666601</v>
      </c>
      <c r="D411">
        <v>12</v>
      </c>
      <c r="E411" s="3">
        <f t="shared" si="9"/>
        <v>7.7490586808048845E-4</v>
      </c>
    </row>
    <row r="412" spans="1:5" hidden="1" x14ac:dyDescent="0.25">
      <c r="A412">
        <v>20585</v>
      </c>
      <c r="B412">
        <v>7</v>
      </c>
      <c r="C412" s="7">
        <v>7.65269333333333</v>
      </c>
      <c r="D412">
        <v>12</v>
      </c>
      <c r="E412" s="3">
        <f t="shared" si="9"/>
        <v>1.033614266833194E-3</v>
      </c>
    </row>
    <row r="413" spans="1:5" hidden="1" x14ac:dyDescent="0.25">
      <c r="A413">
        <v>20549</v>
      </c>
      <c r="B413">
        <v>2</v>
      </c>
      <c r="C413" s="7">
        <v>7.6417866666666603</v>
      </c>
      <c r="D413">
        <v>12</v>
      </c>
      <c r="E413" s="3">
        <f t="shared" si="9"/>
        <v>7.6402406996155605E-4</v>
      </c>
    </row>
    <row r="414" spans="1:5" hidden="1" x14ac:dyDescent="0.25">
      <c r="A414">
        <v>20746</v>
      </c>
      <c r="B414">
        <v>6</v>
      </c>
      <c r="C414" s="7">
        <v>7.62432</v>
      </c>
      <c r="D414">
        <v>0</v>
      </c>
      <c r="E414" s="3">
        <f t="shared" si="9"/>
        <v>1.4595665937777826E-3</v>
      </c>
    </row>
    <row r="415" spans="1:5" hidden="1" x14ac:dyDescent="0.25">
      <c r="A415">
        <v>20496</v>
      </c>
      <c r="B415">
        <v>4</v>
      </c>
      <c r="C415" s="7">
        <v>7.56884333333333</v>
      </c>
      <c r="D415">
        <v>12</v>
      </c>
      <c r="E415" s="3">
        <f t="shared" si="9"/>
        <v>2.0273881839638803E-3</v>
      </c>
    </row>
    <row r="416" spans="1:5" hidden="1" x14ac:dyDescent="0.25">
      <c r="A416">
        <v>20682</v>
      </c>
      <c r="B416">
        <v>2</v>
      </c>
      <c r="C416" s="7">
        <v>7.54961666666666</v>
      </c>
      <c r="D416">
        <v>4</v>
      </c>
      <c r="E416" s="3">
        <f t="shared" si="9"/>
        <v>7.5480893460119227E-4</v>
      </c>
    </row>
    <row r="417" spans="1:5" hidden="1" x14ac:dyDescent="0.25">
      <c r="A417">
        <v>20638</v>
      </c>
      <c r="B417">
        <v>1</v>
      </c>
      <c r="C417" s="7">
        <v>7.3294033333333299</v>
      </c>
      <c r="D417">
        <v>6</v>
      </c>
      <c r="E417" s="3">
        <f t="shared" si="9"/>
        <v>4.4583895098462608E-3</v>
      </c>
    </row>
    <row r="418" spans="1:5" hidden="1" x14ac:dyDescent="0.25">
      <c r="A418">
        <v>20563</v>
      </c>
      <c r="B418">
        <v>7</v>
      </c>
      <c r="C418" s="7">
        <v>7.3179833333333297</v>
      </c>
      <c r="D418">
        <v>12</v>
      </c>
      <c r="E418" s="3">
        <f t="shared" si="9"/>
        <v>9.8840651889629274E-4</v>
      </c>
    </row>
    <row r="419" spans="1:5" hidden="1" x14ac:dyDescent="0.25">
      <c r="A419">
        <v>20483</v>
      </c>
      <c r="B419">
        <v>4</v>
      </c>
      <c r="C419" s="7">
        <v>7.2469533333333302</v>
      </c>
      <c r="D419">
        <v>12</v>
      </c>
      <c r="E419" s="3">
        <f t="shared" si="9"/>
        <v>1.9411668217562512E-3</v>
      </c>
    </row>
    <row r="420" spans="1:5" hidden="1" x14ac:dyDescent="0.25">
      <c r="A420">
        <v>20456</v>
      </c>
      <c r="B420">
        <v>2</v>
      </c>
      <c r="C420" s="7">
        <v>7.2083399999999997</v>
      </c>
      <c r="D420">
        <v>11</v>
      </c>
      <c r="E420" s="3">
        <f t="shared" si="9"/>
        <v>7.2068817211158576E-4</v>
      </c>
    </row>
    <row r="421" spans="1:5" hidden="1" x14ac:dyDescent="0.25">
      <c r="A421">
        <v>20795</v>
      </c>
      <c r="B421">
        <v>6</v>
      </c>
      <c r="C421" s="7">
        <v>7.1464999999999996</v>
      </c>
      <c r="D421">
        <v>0</v>
      </c>
      <c r="E421" s="3">
        <f t="shared" si="9"/>
        <v>1.3680948153321113E-3</v>
      </c>
    </row>
    <row r="422" spans="1:5" hidden="1" x14ac:dyDescent="0.25">
      <c r="A422">
        <v>20482</v>
      </c>
      <c r="B422">
        <v>7</v>
      </c>
      <c r="C422" s="7">
        <v>7.1464800000000004</v>
      </c>
      <c r="D422">
        <v>12</v>
      </c>
      <c r="E422" s="3">
        <f t="shared" si="9"/>
        <v>9.6524234852889547E-4</v>
      </c>
    </row>
    <row r="423" spans="1:5" hidden="1" x14ac:dyDescent="0.25">
      <c r="A423">
        <v>20465</v>
      </c>
      <c r="B423">
        <v>3</v>
      </c>
      <c r="C423" s="7">
        <v>7.1146066666666599</v>
      </c>
      <c r="D423">
        <v>12</v>
      </c>
      <c r="E423" s="3">
        <f t="shared" si="9"/>
        <v>3.2186409573259967E-3</v>
      </c>
    </row>
    <row r="424" spans="1:5" hidden="1" x14ac:dyDescent="0.25">
      <c r="A424">
        <v>20304</v>
      </c>
      <c r="B424">
        <v>2</v>
      </c>
      <c r="C424" s="7">
        <v>7.1052799999999996</v>
      </c>
      <c r="D424">
        <v>12</v>
      </c>
      <c r="E424" s="3">
        <f t="shared" si="9"/>
        <v>7.1038425706071125E-4</v>
      </c>
    </row>
    <row r="425" spans="1:5" hidden="1" x14ac:dyDescent="0.25">
      <c r="A425">
        <v>20375</v>
      </c>
      <c r="B425">
        <v>2</v>
      </c>
      <c r="C425" s="7">
        <v>7.05582333333333</v>
      </c>
      <c r="D425">
        <v>12</v>
      </c>
      <c r="E425" s="3">
        <f t="shared" si="9"/>
        <v>7.054395909241619E-4</v>
      </c>
    </row>
    <row r="426" spans="1:5" hidden="1" x14ac:dyDescent="0.25">
      <c r="A426">
        <v>20379</v>
      </c>
      <c r="B426">
        <v>2</v>
      </c>
      <c r="C426" s="7">
        <v>7.0357899999999898</v>
      </c>
      <c r="D426">
        <v>12</v>
      </c>
      <c r="E426" s="3">
        <f t="shared" si="9"/>
        <v>7.0343666287397185E-4</v>
      </c>
    </row>
    <row r="427" spans="1:5" hidden="1" x14ac:dyDescent="0.25">
      <c r="A427">
        <v>20502</v>
      </c>
      <c r="B427">
        <v>4</v>
      </c>
      <c r="C427" s="7">
        <v>7.0320366666666603</v>
      </c>
      <c r="D427">
        <v>12</v>
      </c>
      <c r="E427" s="3">
        <f t="shared" si="9"/>
        <v>1.8835993056447744E-3</v>
      </c>
    </row>
    <row r="428" spans="1:5" hidden="1" x14ac:dyDescent="0.25">
      <c r="A428">
        <v>20424</v>
      </c>
      <c r="B428">
        <v>3</v>
      </c>
      <c r="C428" s="7">
        <v>6.9595466666666601</v>
      </c>
      <c r="D428">
        <v>12</v>
      </c>
      <c r="E428" s="3">
        <f t="shared" si="9"/>
        <v>3.1484919680387509E-3</v>
      </c>
    </row>
    <row r="429" spans="1:5" hidden="1" x14ac:dyDescent="0.25">
      <c r="A429">
        <v>20544</v>
      </c>
      <c r="B429">
        <v>7</v>
      </c>
      <c r="C429" s="7">
        <v>6.9509233333333302</v>
      </c>
      <c r="D429">
        <v>12</v>
      </c>
      <c r="E429" s="3">
        <f t="shared" si="9"/>
        <v>9.3882940450556941E-4</v>
      </c>
    </row>
    <row r="430" spans="1:5" hidden="1" x14ac:dyDescent="0.25">
      <c r="A430">
        <v>20514</v>
      </c>
      <c r="B430">
        <v>6</v>
      </c>
      <c r="C430" s="7">
        <v>6.9163166666666598</v>
      </c>
      <c r="D430">
        <v>12</v>
      </c>
      <c r="E430" s="3">
        <f t="shared" si="9"/>
        <v>1.3240295211448582E-3</v>
      </c>
    </row>
    <row r="431" spans="1:5" hidden="1" x14ac:dyDescent="0.25">
      <c r="A431">
        <v>20612</v>
      </c>
      <c r="B431">
        <v>7</v>
      </c>
      <c r="C431" s="7">
        <v>6.8226799999999903</v>
      </c>
      <c r="D431">
        <v>12</v>
      </c>
      <c r="E431" s="3">
        <f t="shared" si="9"/>
        <v>9.2150816436359091E-4</v>
      </c>
    </row>
    <row r="432" spans="1:5" hidden="1" x14ac:dyDescent="0.25">
      <c r="A432">
        <v>20589</v>
      </c>
      <c r="B432">
        <v>2</v>
      </c>
      <c r="C432" s="7">
        <v>6.8189700000000002</v>
      </c>
      <c r="D432">
        <v>12</v>
      </c>
      <c r="E432" s="3">
        <f t="shared" si="9"/>
        <v>6.8175904923792991E-4</v>
      </c>
    </row>
    <row r="433" spans="1:5" hidden="1" x14ac:dyDescent="0.25">
      <c r="A433">
        <v>20520</v>
      </c>
      <c r="B433">
        <v>1</v>
      </c>
      <c r="C433" s="7">
        <v>6.7885999999999997</v>
      </c>
      <c r="D433">
        <v>12</v>
      </c>
      <c r="E433" s="3">
        <f t="shared" si="9"/>
        <v>4.1294252274117369E-3</v>
      </c>
    </row>
    <row r="434" spans="1:5" hidden="1" x14ac:dyDescent="0.25">
      <c r="A434">
        <v>20480</v>
      </c>
      <c r="B434">
        <v>7</v>
      </c>
      <c r="C434" s="7">
        <v>6.7714433333333304</v>
      </c>
      <c r="D434">
        <v>12</v>
      </c>
      <c r="E434" s="3">
        <f t="shared" si="9"/>
        <v>9.1458786227583311E-4</v>
      </c>
    </row>
    <row r="435" spans="1:5" hidden="1" x14ac:dyDescent="0.25">
      <c r="A435">
        <v>20497</v>
      </c>
      <c r="B435">
        <v>3</v>
      </c>
      <c r="C435" s="7">
        <v>6.7163233333333299</v>
      </c>
      <c r="D435">
        <v>12</v>
      </c>
      <c r="E435" s="3">
        <f t="shared" si="9"/>
        <v>3.0384579747174036E-3</v>
      </c>
    </row>
    <row r="436" spans="1:5" hidden="1" x14ac:dyDescent="0.25">
      <c r="A436">
        <v>20772</v>
      </c>
      <c r="B436">
        <v>6</v>
      </c>
      <c r="C436" s="7">
        <v>6.6487600000000002</v>
      </c>
      <c r="D436">
        <v>0</v>
      </c>
      <c r="E436" s="3">
        <f t="shared" si="9"/>
        <v>1.2728096388984159E-3</v>
      </c>
    </row>
    <row r="437" spans="1:5" hidden="1" x14ac:dyDescent="0.25">
      <c r="A437">
        <v>20570</v>
      </c>
      <c r="B437">
        <v>4</v>
      </c>
      <c r="C437" s="7">
        <v>6.46824333333333</v>
      </c>
      <c r="D437">
        <v>12</v>
      </c>
      <c r="E437" s="3">
        <f t="shared" si="9"/>
        <v>1.7325817866054138E-3</v>
      </c>
    </row>
    <row r="438" spans="1:5" hidden="1" x14ac:dyDescent="0.25">
      <c r="A438">
        <v>20536</v>
      </c>
      <c r="B438">
        <v>2</v>
      </c>
      <c r="C438" s="7">
        <v>6.3581199999999898</v>
      </c>
      <c r="D438">
        <v>12</v>
      </c>
      <c r="E438" s="3">
        <f t="shared" si="9"/>
        <v>6.356833724361099E-4</v>
      </c>
    </row>
    <row r="439" spans="1:5" hidden="1" x14ac:dyDescent="0.25">
      <c r="A439">
        <v>20362</v>
      </c>
      <c r="B439">
        <v>3</v>
      </c>
      <c r="C439" s="7">
        <v>6.3167733333333302</v>
      </c>
      <c r="D439">
        <v>12</v>
      </c>
      <c r="E439" s="3">
        <f t="shared" si="9"/>
        <v>2.8577019533726398E-3</v>
      </c>
    </row>
    <row r="440" spans="1:5" hidden="1" x14ac:dyDescent="0.25">
      <c r="A440">
        <v>20505</v>
      </c>
      <c r="B440">
        <v>2</v>
      </c>
      <c r="C440" s="7">
        <v>6.23312666666666</v>
      </c>
      <c r="D440">
        <v>12</v>
      </c>
      <c r="E440" s="3">
        <f t="shared" si="9"/>
        <v>6.2318656777288206E-4</v>
      </c>
    </row>
    <row r="441" spans="1:5" hidden="1" x14ac:dyDescent="0.25">
      <c r="A441">
        <v>20646</v>
      </c>
      <c r="B441">
        <v>6</v>
      </c>
      <c r="C441" s="7">
        <v>6.2106333333333303</v>
      </c>
      <c r="D441">
        <v>12</v>
      </c>
      <c r="E441" s="3">
        <f t="shared" si="9"/>
        <v>1.1889365792013039E-3</v>
      </c>
    </row>
    <row r="442" spans="1:5" hidden="1" x14ac:dyDescent="0.25">
      <c r="A442">
        <v>20539</v>
      </c>
      <c r="B442">
        <v>4</v>
      </c>
      <c r="C442" s="7">
        <v>6.1916766666666598</v>
      </c>
      <c r="D442">
        <v>12</v>
      </c>
      <c r="E442" s="3">
        <f t="shared" si="9"/>
        <v>1.6585007193426109E-3</v>
      </c>
    </row>
    <row r="443" spans="1:5" hidden="1" x14ac:dyDescent="0.25">
      <c r="A443">
        <v>20822</v>
      </c>
      <c r="B443">
        <v>6</v>
      </c>
      <c r="C443" s="7">
        <v>6.07405333333333</v>
      </c>
      <c r="D443">
        <v>0</v>
      </c>
      <c r="E443" s="3">
        <f t="shared" si="9"/>
        <v>1.1627902992211653E-3</v>
      </c>
    </row>
    <row r="444" spans="1:5" hidden="1" x14ac:dyDescent="0.25">
      <c r="A444">
        <v>20464</v>
      </c>
      <c r="B444">
        <v>2</v>
      </c>
      <c r="C444" s="7">
        <v>6.0578533333333304</v>
      </c>
      <c r="D444">
        <v>12</v>
      </c>
      <c r="E444" s="3">
        <f t="shared" si="9"/>
        <v>6.0566278029616728E-4</v>
      </c>
    </row>
    <row r="445" spans="1:5" hidden="1" x14ac:dyDescent="0.25">
      <c r="A445">
        <v>20689</v>
      </c>
      <c r="B445">
        <v>2</v>
      </c>
      <c r="C445" s="7">
        <v>5.9914399999999999</v>
      </c>
      <c r="D445">
        <v>2</v>
      </c>
      <c r="E445" s="3">
        <f t="shared" si="9"/>
        <v>5.9902279053377608E-4</v>
      </c>
    </row>
    <row r="446" spans="1:5" hidden="1" x14ac:dyDescent="0.25">
      <c r="A446">
        <v>20415</v>
      </c>
      <c r="B446">
        <v>2</v>
      </c>
      <c r="C446" s="7">
        <v>5.98291666666666</v>
      </c>
      <c r="D446">
        <v>12</v>
      </c>
      <c r="E446" s="3">
        <f t="shared" si="9"/>
        <v>5.9817062963122398E-4</v>
      </c>
    </row>
    <row r="447" spans="1:5" hidden="1" x14ac:dyDescent="0.25">
      <c r="A447">
        <v>20532</v>
      </c>
      <c r="B447">
        <v>1</v>
      </c>
      <c r="C447" s="7">
        <v>5.9688400000000001</v>
      </c>
      <c r="D447">
        <v>12</v>
      </c>
      <c r="E447" s="3">
        <f t="shared" si="9"/>
        <v>3.6307748982683133E-3</v>
      </c>
    </row>
    <row r="448" spans="1:5" hidden="1" x14ac:dyDescent="0.25">
      <c r="A448">
        <v>20524</v>
      </c>
      <c r="B448">
        <v>2</v>
      </c>
      <c r="C448" s="7">
        <v>5.7969433333333296</v>
      </c>
      <c r="D448">
        <v>12</v>
      </c>
      <c r="E448" s="3">
        <f t="shared" si="9"/>
        <v>5.7957705862021498E-4</v>
      </c>
    </row>
    <row r="449" spans="1:5" hidden="1" x14ac:dyDescent="0.25">
      <c r="A449">
        <v>20484</v>
      </c>
      <c r="B449">
        <v>2</v>
      </c>
      <c r="C449" s="7">
        <v>5.71268333333333</v>
      </c>
      <c r="D449">
        <v>12</v>
      </c>
      <c r="E449" s="3">
        <f t="shared" si="9"/>
        <v>5.711527632370724E-4</v>
      </c>
    </row>
    <row r="450" spans="1:5" hidden="1" x14ac:dyDescent="0.25">
      <c r="A450">
        <v>20478</v>
      </c>
      <c r="B450">
        <v>2</v>
      </c>
      <c r="C450" s="7">
        <v>5.6524066666666597</v>
      </c>
      <c r="D450">
        <v>12</v>
      </c>
      <c r="E450" s="3">
        <f t="shared" si="9"/>
        <v>5.6512631599388156E-4</v>
      </c>
    </row>
    <row r="451" spans="1:5" hidden="1" x14ac:dyDescent="0.25">
      <c r="A451">
        <v>20325</v>
      </c>
      <c r="B451">
        <v>2</v>
      </c>
      <c r="C451" s="7">
        <v>5.6434533333333299</v>
      </c>
      <c r="D451">
        <v>12</v>
      </c>
      <c r="E451" s="3">
        <f t="shared" ref="E451:E514" si="10">$C451/SUMIF($B$2:$B$781,B451,$C$2:$C$781)</f>
        <v>5.6423116379041959E-4</v>
      </c>
    </row>
    <row r="452" spans="1:5" x14ac:dyDescent="0.25">
      <c r="A452">
        <v>20605</v>
      </c>
      <c r="B452">
        <v>0</v>
      </c>
      <c r="C452" s="7">
        <v>5.6330999999999998</v>
      </c>
      <c r="D452">
        <v>12</v>
      </c>
      <c r="E452" s="3">
        <f t="shared" si="10"/>
        <v>1.3543936104596232E-2</v>
      </c>
    </row>
    <row r="453" spans="1:5" hidden="1" x14ac:dyDescent="0.25">
      <c r="A453">
        <v>20774</v>
      </c>
      <c r="B453">
        <v>6</v>
      </c>
      <c r="C453" s="7">
        <v>5.5431033333333302</v>
      </c>
      <c r="D453">
        <v>0</v>
      </c>
      <c r="E453" s="3">
        <f t="shared" si="10"/>
        <v>1.0611475451176764E-3</v>
      </c>
    </row>
    <row r="454" spans="1:5" hidden="1" x14ac:dyDescent="0.25">
      <c r="A454">
        <v>20551</v>
      </c>
      <c r="B454">
        <v>2</v>
      </c>
      <c r="C454" s="7">
        <v>5.5266599999999997</v>
      </c>
      <c r="D454">
        <v>12</v>
      </c>
      <c r="E454" s="3">
        <f t="shared" si="10"/>
        <v>5.5255419323758535E-4</v>
      </c>
    </row>
    <row r="455" spans="1:5" hidden="1" x14ac:dyDescent="0.25">
      <c r="A455">
        <v>20517</v>
      </c>
      <c r="B455">
        <v>7</v>
      </c>
      <c r="C455" s="7">
        <v>5.49003</v>
      </c>
      <c r="D455">
        <v>12</v>
      </c>
      <c r="E455" s="3">
        <f t="shared" si="10"/>
        <v>7.4151322758814013E-4</v>
      </c>
    </row>
    <row r="456" spans="1:5" hidden="1" x14ac:dyDescent="0.25">
      <c r="A456">
        <v>20530</v>
      </c>
      <c r="B456">
        <v>7</v>
      </c>
      <c r="C456" s="7">
        <v>5.4233733333333296</v>
      </c>
      <c r="D456">
        <v>12</v>
      </c>
      <c r="E456" s="3">
        <f t="shared" si="10"/>
        <v>7.3251021666829639E-4</v>
      </c>
    </row>
    <row r="457" spans="1:5" hidden="1" x14ac:dyDescent="0.25">
      <c r="A457">
        <v>20907</v>
      </c>
      <c r="B457">
        <v>6</v>
      </c>
      <c r="C457" s="7">
        <v>5.4144999999999897</v>
      </c>
      <c r="D457">
        <v>0</v>
      </c>
      <c r="E457" s="3">
        <f t="shared" si="10"/>
        <v>1.0365282834416433E-3</v>
      </c>
    </row>
    <row r="458" spans="1:5" hidden="1" x14ac:dyDescent="0.25">
      <c r="A458">
        <v>20680</v>
      </c>
      <c r="B458">
        <v>7</v>
      </c>
      <c r="C458" s="7">
        <v>5.3777866666666601</v>
      </c>
      <c r="D458">
        <v>12</v>
      </c>
      <c r="E458" s="3">
        <f t="shared" si="10"/>
        <v>7.2635303422394063E-4</v>
      </c>
    </row>
    <row r="459" spans="1:5" hidden="1" x14ac:dyDescent="0.25">
      <c r="A459">
        <v>20622</v>
      </c>
      <c r="B459">
        <v>1</v>
      </c>
      <c r="C459" s="7">
        <v>5.1829266666666598</v>
      </c>
      <c r="D459">
        <v>12</v>
      </c>
      <c r="E459" s="3">
        <f t="shared" si="10"/>
        <v>3.1527130968326792E-3</v>
      </c>
    </row>
    <row r="460" spans="1:5" hidden="1" x14ac:dyDescent="0.25">
      <c r="A460">
        <v>20234</v>
      </c>
      <c r="B460">
        <v>2</v>
      </c>
      <c r="C460" s="7">
        <v>5.1582933333333303</v>
      </c>
      <c r="D460">
        <v>12</v>
      </c>
      <c r="E460" s="3">
        <f t="shared" si="10"/>
        <v>5.1572497879059204E-4</v>
      </c>
    </row>
    <row r="461" spans="1:5" hidden="1" x14ac:dyDescent="0.25">
      <c r="A461">
        <v>20624</v>
      </c>
      <c r="B461">
        <v>4</v>
      </c>
      <c r="C461" s="7">
        <v>5.1149699999999996</v>
      </c>
      <c r="D461">
        <v>12</v>
      </c>
      <c r="E461" s="3">
        <f t="shared" si="10"/>
        <v>1.3700943833333055E-3</v>
      </c>
    </row>
    <row r="462" spans="1:5" hidden="1" x14ac:dyDescent="0.25">
      <c r="A462">
        <v>20637</v>
      </c>
      <c r="B462">
        <v>4</v>
      </c>
      <c r="C462" s="7">
        <v>5.0585033333333298</v>
      </c>
      <c r="D462">
        <v>12</v>
      </c>
      <c r="E462" s="3">
        <f t="shared" si="10"/>
        <v>1.3549692383479862E-3</v>
      </c>
    </row>
    <row r="463" spans="1:5" hidden="1" x14ac:dyDescent="0.25">
      <c r="A463">
        <v>20667</v>
      </c>
      <c r="B463">
        <v>2</v>
      </c>
      <c r="C463" s="7">
        <v>5.0214766666666604</v>
      </c>
      <c r="D463">
        <v>12</v>
      </c>
      <c r="E463" s="3">
        <f t="shared" si="10"/>
        <v>5.0204607998526345E-4</v>
      </c>
    </row>
    <row r="464" spans="1:5" hidden="1" x14ac:dyDescent="0.25">
      <c r="A464">
        <v>20265</v>
      </c>
      <c r="B464">
        <v>2</v>
      </c>
      <c r="C464" s="7">
        <v>4.9737066666666596</v>
      </c>
      <c r="D464">
        <v>12</v>
      </c>
      <c r="E464" s="3">
        <f t="shared" si="10"/>
        <v>4.972700463933725E-4</v>
      </c>
    </row>
    <row r="465" spans="1:5" hidden="1" x14ac:dyDescent="0.25">
      <c r="A465">
        <v>20578</v>
      </c>
      <c r="B465">
        <v>7</v>
      </c>
      <c r="C465" s="7">
        <v>4.8857600000000003</v>
      </c>
      <c r="D465">
        <v>12</v>
      </c>
      <c r="E465" s="3">
        <f t="shared" si="10"/>
        <v>6.598972440626065E-4</v>
      </c>
    </row>
    <row r="466" spans="1:5" hidden="1" x14ac:dyDescent="0.25">
      <c r="A466">
        <v>20560</v>
      </c>
      <c r="B466">
        <v>4</v>
      </c>
      <c r="C466" s="7">
        <v>4.8836966666666601</v>
      </c>
      <c r="D466">
        <v>12</v>
      </c>
      <c r="E466" s="3">
        <f t="shared" si="10"/>
        <v>1.3081455752240146E-3</v>
      </c>
    </row>
    <row r="467" spans="1:5" hidden="1" x14ac:dyDescent="0.25">
      <c r="A467">
        <v>20661</v>
      </c>
      <c r="B467">
        <v>4</v>
      </c>
      <c r="C467" s="7">
        <v>4.8830533333333301</v>
      </c>
      <c r="D467">
        <v>12</v>
      </c>
      <c r="E467" s="3">
        <f t="shared" si="10"/>
        <v>1.3079732521436042E-3</v>
      </c>
    </row>
    <row r="468" spans="1:5" hidden="1" x14ac:dyDescent="0.25">
      <c r="A468">
        <v>20574</v>
      </c>
      <c r="B468">
        <v>2</v>
      </c>
      <c r="C468" s="7">
        <v>4.8826266666666598</v>
      </c>
      <c r="D468">
        <v>12</v>
      </c>
      <c r="E468" s="3">
        <f t="shared" si="10"/>
        <v>4.8816388898182935E-4</v>
      </c>
    </row>
    <row r="469" spans="1:5" hidden="1" x14ac:dyDescent="0.25">
      <c r="A469">
        <v>20565</v>
      </c>
      <c r="B469">
        <v>2</v>
      </c>
      <c r="C469" s="7">
        <v>4.8772033333333296</v>
      </c>
      <c r="D469">
        <v>12</v>
      </c>
      <c r="E469" s="3">
        <f t="shared" si="10"/>
        <v>4.8762166536491484E-4</v>
      </c>
    </row>
    <row r="470" spans="1:5" hidden="1" x14ac:dyDescent="0.25">
      <c r="A470">
        <v>20628</v>
      </c>
      <c r="B470">
        <v>5</v>
      </c>
      <c r="C470" s="7">
        <v>4.69987333333333</v>
      </c>
      <c r="D470">
        <v>12</v>
      </c>
      <c r="E470" s="3">
        <f t="shared" si="10"/>
        <v>4.742396665352773E-2</v>
      </c>
    </row>
    <row r="471" spans="1:5" hidden="1" x14ac:dyDescent="0.25">
      <c r="A471">
        <v>20657</v>
      </c>
      <c r="B471">
        <v>4</v>
      </c>
      <c r="C471" s="7">
        <v>4.67598</v>
      </c>
      <c r="D471">
        <v>12</v>
      </c>
      <c r="E471" s="3">
        <f t="shared" si="10"/>
        <v>1.2525066490280236E-3</v>
      </c>
    </row>
    <row r="472" spans="1:5" hidden="1" x14ac:dyDescent="0.25">
      <c r="A472">
        <v>20639</v>
      </c>
      <c r="B472">
        <v>1</v>
      </c>
      <c r="C472" s="7">
        <v>4.5663099999999996</v>
      </c>
      <c r="D472">
        <v>12</v>
      </c>
      <c r="E472" s="3">
        <f t="shared" si="10"/>
        <v>2.7776324588549167E-3</v>
      </c>
    </row>
    <row r="473" spans="1:5" x14ac:dyDescent="0.25">
      <c r="A473">
        <v>20696</v>
      </c>
      <c r="B473">
        <v>0</v>
      </c>
      <c r="C473" s="7">
        <v>4.5431133333333298</v>
      </c>
      <c r="D473">
        <v>12</v>
      </c>
      <c r="E473" s="3">
        <f t="shared" si="10"/>
        <v>1.0923228187428916E-2</v>
      </c>
    </row>
    <row r="474" spans="1:5" hidden="1" x14ac:dyDescent="0.25">
      <c r="A474">
        <v>20672</v>
      </c>
      <c r="B474">
        <v>4</v>
      </c>
      <c r="C474" s="7">
        <v>4.4624199999999998</v>
      </c>
      <c r="D474">
        <v>12</v>
      </c>
      <c r="E474" s="3">
        <f t="shared" si="10"/>
        <v>1.1953025292571039E-3</v>
      </c>
    </row>
    <row r="475" spans="1:5" hidden="1" x14ac:dyDescent="0.25">
      <c r="A475">
        <v>20409</v>
      </c>
      <c r="B475">
        <v>2</v>
      </c>
      <c r="C475" s="7">
        <v>4.4367433333333297</v>
      </c>
      <c r="D475">
        <v>12</v>
      </c>
      <c r="E475" s="3">
        <f t="shared" si="10"/>
        <v>4.4358457606442832E-4</v>
      </c>
    </row>
    <row r="476" spans="1:5" hidden="1" x14ac:dyDescent="0.25">
      <c r="A476">
        <v>20642</v>
      </c>
      <c r="B476">
        <v>7</v>
      </c>
      <c r="C476" s="7">
        <v>4.4290466666666601</v>
      </c>
      <c r="D476">
        <v>12</v>
      </c>
      <c r="E476" s="3">
        <f t="shared" si="10"/>
        <v>5.9821106422706049E-4</v>
      </c>
    </row>
    <row r="477" spans="1:5" hidden="1" x14ac:dyDescent="0.25">
      <c r="A477">
        <v>20568</v>
      </c>
      <c r="B477">
        <v>6</v>
      </c>
      <c r="C477" s="7">
        <v>4.4198700000000004</v>
      </c>
      <c r="D477">
        <v>12</v>
      </c>
      <c r="E477" s="3">
        <f t="shared" si="10"/>
        <v>8.4612065086992795E-4</v>
      </c>
    </row>
    <row r="478" spans="1:5" hidden="1" x14ac:dyDescent="0.25">
      <c r="A478">
        <v>20600</v>
      </c>
      <c r="B478">
        <v>3</v>
      </c>
      <c r="C478" s="7">
        <v>4.4006400000000001</v>
      </c>
      <c r="D478">
        <v>12</v>
      </c>
      <c r="E478" s="3">
        <f t="shared" si="10"/>
        <v>1.9908451452149271E-3</v>
      </c>
    </row>
    <row r="479" spans="1:5" hidden="1" x14ac:dyDescent="0.25">
      <c r="A479">
        <v>20599</v>
      </c>
      <c r="B479">
        <v>4</v>
      </c>
      <c r="C479" s="7">
        <v>4.3499100000000004</v>
      </c>
      <c r="D479">
        <v>12</v>
      </c>
      <c r="E479" s="3">
        <f t="shared" si="10"/>
        <v>1.1651656332305723E-3</v>
      </c>
    </row>
    <row r="480" spans="1:5" hidden="1" x14ac:dyDescent="0.25">
      <c r="A480">
        <v>20658</v>
      </c>
      <c r="B480">
        <v>6</v>
      </c>
      <c r="C480" s="7">
        <v>4.3164333333333298</v>
      </c>
      <c r="D480">
        <v>12</v>
      </c>
      <c r="E480" s="3">
        <f t="shared" si="10"/>
        <v>8.2631918618345098E-4</v>
      </c>
    </row>
    <row r="481" spans="1:5" hidden="1" x14ac:dyDescent="0.25">
      <c r="A481">
        <v>20714</v>
      </c>
      <c r="B481">
        <v>4</v>
      </c>
      <c r="C481" s="7">
        <v>4.3112966666666601</v>
      </c>
      <c r="D481">
        <v>12</v>
      </c>
      <c r="E481" s="3">
        <f t="shared" si="10"/>
        <v>1.1548226769430893E-3</v>
      </c>
    </row>
    <row r="482" spans="1:5" hidden="1" x14ac:dyDescent="0.25">
      <c r="A482">
        <v>20579</v>
      </c>
      <c r="B482">
        <v>2</v>
      </c>
      <c r="C482" s="7">
        <v>4.30786333333333</v>
      </c>
      <c r="D482">
        <v>12</v>
      </c>
      <c r="E482" s="3">
        <f t="shared" si="10"/>
        <v>4.3069918336350953E-4</v>
      </c>
    </row>
    <row r="483" spans="1:5" hidden="1" x14ac:dyDescent="0.25">
      <c r="A483">
        <v>20654</v>
      </c>
      <c r="B483">
        <v>4</v>
      </c>
      <c r="C483" s="7">
        <v>4.2432966666666596</v>
      </c>
      <c r="D483">
        <v>12</v>
      </c>
      <c r="E483" s="3">
        <f t="shared" si="10"/>
        <v>1.1366082166301911E-3</v>
      </c>
    </row>
    <row r="484" spans="1:5" hidden="1" x14ac:dyDescent="0.25">
      <c r="A484">
        <v>20552</v>
      </c>
      <c r="B484">
        <v>4</v>
      </c>
      <c r="C484" s="7">
        <v>4.20153</v>
      </c>
      <c r="D484">
        <v>12</v>
      </c>
      <c r="E484" s="3">
        <f t="shared" si="10"/>
        <v>1.1254206093889863E-3</v>
      </c>
    </row>
    <row r="485" spans="1:5" hidden="1" x14ac:dyDescent="0.25">
      <c r="A485">
        <v>20699</v>
      </c>
      <c r="B485">
        <v>7</v>
      </c>
      <c r="C485" s="7">
        <v>4.1941666666666597</v>
      </c>
      <c r="D485">
        <v>12</v>
      </c>
      <c r="E485" s="3">
        <f t="shared" si="10"/>
        <v>5.6648689752926418E-4</v>
      </c>
    </row>
    <row r="486" spans="1:5" hidden="1" x14ac:dyDescent="0.25">
      <c r="A486">
        <v>20572</v>
      </c>
      <c r="B486">
        <v>3</v>
      </c>
      <c r="C486" s="7">
        <v>4.18268666666666</v>
      </c>
      <c r="D486">
        <v>12</v>
      </c>
      <c r="E486" s="3">
        <f t="shared" si="10"/>
        <v>1.892243274680166E-3</v>
      </c>
    </row>
    <row r="487" spans="1:5" hidden="1" x14ac:dyDescent="0.25">
      <c r="A487">
        <v>20927</v>
      </c>
      <c r="B487">
        <v>6</v>
      </c>
      <c r="C487" s="7">
        <v>4.1631566666666604</v>
      </c>
      <c r="D487">
        <v>0</v>
      </c>
      <c r="E487" s="3">
        <f t="shared" si="10"/>
        <v>7.9697656910123469E-4</v>
      </c>
    </row>
    <row r="488" spans="1:5" hidden="1" x14ac:dyDescent="0.25">
      <c r="A488">
        <v>20693</v>
      </c>
      <c r="B488">
        <v>2</v>
      </c>
      <c r="C488" s="7">
        <v>4.1351566666666599</v>
      </c>
      <c r="D488">
        <v>12</v>
      </c>
      <c r="E488" s="3">
        <f t="shared" si="10"/>
        <v>4.1343201062866525E-4</v>
      </c>
    </row>
    <row r="489" spans="1:5" hidden="1" x14ac:dyDescent="0.25">
      <c r="A489">
        <v>20508</v>
      </c>
      <c r="B489">
        <v>2</v>
      </c>
      <c r="C489" s="7">
        <v>4.0988233333333302</v>
      </c>
      <c r="D489">
        <v>12</v>
      </c>
      <c r="E489" s="3">
        <f t="shared" si="10"/>
        <v>4.0979941233464497E-4</v>
      </c>
    </row>
    <row r="490" spans="1:5" hidden="1" x14ac:dyDescent="0.25">
      <c r="A490">
        <v>20904</v>
      </c>
      <c r="B490">
        <v>6</v>
      </c>
      <c r="C490" s="7">
        <v>4.0118200000000002</v>
      </c>
      <c r="D490">
        <v>0</v>
      </c>
      <c r="E490" s="3">
        <f t="shared" si="10"/>
        <v>7.6800533716444013E-4</v>
      </c>
    </row>
    <row r="491" spans="1:5" hidden="1" x14ac:dyDescent="0.25">
      <c r="A491">
        <v>20652</v>
      </c>
      <c r="B491">
        <v>2</v>
      </c>
      <c r="C491" s="7">
        <v>3.9774799999999999</v>
      </c>
      <c r="D491">
        <v>12</v>
      </c>
      <c r="E491" s="3">
        <f t="shared" si="10"/>
        <v>3.9766753383031181E-4</v>
      </c>
    </row>
    <row r="492" spans="1:5" hidden="1" x14ac:dyDescent="0.25">
      <c r="A492">
        <v>20606</v>
      </c>
      <c r="B492">
        <v>2</v>
      </c>
      <c r="C492" s="7">
        <v>3.9637799999999999</v>
      </c>
      <c r="D492">
        <v>12</v>
      </c>
      <c r="E492" s="3">
        <f t="shared" si="10"/>
        <v>3.9629781098733706E-4</v>
      </c>
    </row>
    <row r="493" spans="1:5" hidden="1" x14ac:dyDescent="0.25">
      <c r="A493">
        <v>20859</v>
      </c>
      <c r="B493">
        <v>6</v>
      </c>
      <c r="C493" s="7">
        <v>3.9460066666666598</v>
      </c>
      <c r="D493">
        <v>0</v>
      </c>
      <c r="E493" s="3">
        <f t="shared" si="10"/>
        <v>7.5540631944764631E-4</v>
      </c>
    </row>
    <row r="494" spans="1:5" hidden="1" x14ac:dyDescent="0.25">
      <c r="A494">
        <v>20705</v>
      </c>
      <c r="B494">
        <v>2</v>
      </c>
      <c r="C494" s="7">
        <v>3.9196733333333298</v>
      </c>
      <c r="D494">
        <v>12</v>
      </c>
      <c r="E494" s="3">
        <f t="shared" si="10"/>
        <v>3.9188803661793477E-4</v>
      </c>
    </row>
    <row r="495" spans="1:5" hidden="1" x14ac:dyDescent="0.25">
      <c r="A495">
        <v>20785</v>
      </c>
      <c r="B495">
        <v>6</v>
      </c>
      <c r="C495" s="7">
        <v>3.9137933333333299</v>
      </c>
      <c r="D495">
        <v>0</v>
      </c>
      <c r="E495" s="3">
        <f t="shared" si="10"/>
        <v>7.4923953930101602E-4</v>
      </c>
    </row>
    <row r="496" spans="1:5" hidden="1" x14ac:dyDescent="0.25">
      <c r="A496">
        <v>20583</v>
      </c>
      <c r="B496">
        <v>2</v>
      </c>
      <c r="C496" s="7">
        <v>3.9116399999999998</v>
      </c>
      <c r="D496">
        <v>12</v>
      </c>
      <c r="E496" s="3">
        <f t="shared" si="10"/>
        <v>3.9108486580246812E-4</v>
      </c>
    </row>
    <row r="497" spans="1:5" hidden="1" x14ac:dyDescent="0.25">
      <c r="A497">
        <v>20783</v>
      </c>
      <c r="B497">
        <v>6</v>
      </c>
      <c r="C497" s="7">
        <v>3.8607499999999999</v>
      </c>
      <c r="D497">
        <v>5</v>
      </c>
      <c r="E497" s="3">
        <f t="shared" si="10"/>
        <v>7.3908515473216946E-4</v>
      </c>
    </row>
    <row r="498" spans="1:5" hidden="1" x14ac:dyDescent="0.25">
      <c r="A498">
        <v>20910</v>
      </c>
      <c r="B498">
        <v>6</v>
      </c>
      <c r="C498" s="7">
        <v>3.85243</v>
      </c>
      <c r="D498">
        <v>0</v>
      </c>
      <c r="E498" s="3">
        <f t="shared" si="10"/>
        <v>7.3749241019098661E-4</v>
      </c>
    </row>
    <row r="499" spans="1:5" hidden="1" x14ac:dyDescent="0.25">
      <c r="A499">
        <v>20596</v>
      </c>
      <c r="B499">
        <v>4</v>
      </c>
      <c r="C499" s="7">
        <v>3.8283533333333302</v>
      </c>
      <c r="D499">
        <v>12</v>
      </c>
      <c r="E499" s="3">
        <f t="shared" si="10"/>
        <v>1.0254616154963439E-3</v>
      </c>
    </row>
    <row r="500" spans="1:5" hidden="1" x14ac:dyDescent="0.25">
      <c r="A500">
        <v>20602</v>
      </c>
      <c r="B500">
        <v>3</v>
      </c>
      <c r="C500" s="7">
        <v>3.7973599999999998</v>
      </c>
      <c r="D500">
        <v>12</v>
      </c>
      <c r="E500" s="3">
        <f t="shared" si="10"/>
        <v>1.7179218751439233E-3</v>
      </c>
    </row>
    <row r="501" spans="1:5" hidden="1" x14ac:dyDescent="0.25">
      <c r="A501">
        <v>20666</v>
      </c>
      <c r="B501">
        <v>7</v>
      </c>
      <c r="C501" s="7">
        <v>3.7419199999999999</v>
      </c>
      <c r="D501">
        <v>10</v>
      </c>
      <c r="E501" s="3">
        <f t="shared" si="10"/>
        <v>5.0540400991918319E-4</v>
      </c>
    </row>
    <row r="502" spans="1:5" hidden="1" x14ac:dyDescent="0.25">
      <c r="A502">
        <v>20917</v>
      </c>
      <c r="B502">
        <v>7</v>
      </c>
      <c r="C502" s="7">
        <v>3.7134266666666602</v>
      </c>
      <c r="D502">
        <v>3</v>
      </c>
      <c r="E502" s="3">
        <f t="shared" si="10"/>
        <v>5.0155554578242088E-4</v>
      </c>
    </row>
    <row r="503" spans="1:5" hidden="1" x14ac:dyDescent="0.25">
      <c r="A503">
        <v>20706</v>
      </c>
      <c r="B503">
        <v>4</v>
      </c>
      <c r="C503" s="7">
        <v>3.7055433333333299</v>
      </c>
      <c r="D503">
        <v>12</v>
      </c>
      <c r="E503" s="3">
        <f t="shared" si="10"/>
        <v>9.925657644518286E-4</v>
      </c>
    </row>
    <row r="504" spans="1:5" hidden="1" x14ac:dyDescent="0.25">
      <c r="A504">
        <v>20933</v>
      </c>
      <c r="B504">
        <v>6</v>
      </c>
      <c r="C504" s="7">
        <v>3.6728699999999899</v>
      </c>
      <c r="D504">
        <v>0</v>
      </c>
      <c r="E504" s="3">
        <f t="shared" si="10"/>
        <v>7.0311822631901472E-4</v>
      </c>
    </row>
    <row r="505" spans="1:5" hidden="1" x14ac:dyDescent="0.25">
      <c r="A505">
        <v>20737</v>
      </c>
      <c r="B505">
        <v>7</v>
      </c>
      <c r="C505" s="7">
        <v>3.6388833333333301</v>
      </c>
      <c r="D505">
        <v>12</v>
      </c>
      <c r="E505" s="3">
        <f t="shared" si="10"/>
        <v>4.9148731888836448E-4</v>
      </c>
    </row>
    <row r="506" spans="1:5" hidden="1" x14ac:dyDescent="0.25">
      <c r="A506">
        <v>20853</v>
      </c>
      <c r="B506">
        <v>6</v>
      </c>
      <c r="C506" s="7">
        <v>3.6341633333333299</v>
      </c>
      <c r="D506">
        <v>5</v>
      </c>
      <c r="E506" s="3">
        <f t="shared" si="10"/>
        <v>6.9570839073719896E-4</v>
      </c>
    </row>
    <row r="507" spans="1:5" hidden="1" x14ac:dyDescent="0.25">
      <c r="A507">
        <v>20912</v>
      </c>
      <c r="B507">
        <v>6</v>
      </c>
      <c r="C507" s="7">
        <v>3.6167433333333299</v>
      </c>
      <c r="D507">
        <v>0</v>
      </c>
      <c r="E507" s="3">
        <f t="shared" si="10"/>
        <v>6.9237358185409738E-4</v>
      </c>
    </row>
    <row r="508" spans="1:5" hidden="1" x14ac:dyDescent="0.25">
      <c r="A508">
        <v>20928</v>
      </c>
      <c r="B508">
        <v>2</v>
      </c>
      <c r="C508" s="7">
        <v>3.5933633333333299</v>
      </c>
      <c r="D508">
        <v>0</v>
      </c>
      <c r="E508" s="3">
        <f t="shared" si="10"/>
        <v>3.592636380127453E-4</v>
      </c>
    </row>
    <row r="509" spans="1:5" x14ac:dyDescent="0.25">
      <c r="A509">
        <v>20758</v>
      </c>
      <c r="B509">
        <v>0</v>
      </c>
      <c r="C509" s="7">
        <v>3.5914766666666602</v>
      </c>
      <c r="D509">
        <v>12</v>
      </c>
      <c r="E509" s="3">
        <f t="shared" si="10"/>
        <v>8.6351618992173956E-3</v>
      </c>
    </row>
    <row r="510" spans="1:5" hidden="1" x14ac:dyDescent="0.25">
      <c r="A510">
        <v>20701</v>
      </c>
      <c r="B510">
        <v>4</v>
      </c>
      <c r="C510" s="7">
        <v>3.5860699999999999</v>
      </c>
      <c r="D510">
        <v>12</v>
      </c>
      <c r="E510" s="3">
        <f t="shared" si="10"/>
        <v>9.6056367197462883E-4</v>
      </c>
    </row>
    <row r="511" spans="1:5" hidden="1" x14ac:dyDescent="0.25">
      <c r="A511">
        <v>20827</v>
      </c>
      <c r="B511">
        <v>6</v>
      </c>
      <c r="C511" s="7">
        <v>3.4968966666666601</v>
      </c>
      <c r="D511">
        <v>0</v>
      </c>
      <c r="E511" s="3">
        <f t="shared" si="10"/>
        <v>6.6943065828290772E-4</v>
      </c>
    </row>
    <row r="512" spans="1:5" hidden="1" x14ac:dyDescent="0.25">
      <c r="A512">
        <v>20757</v>
      </c>
      <c r="B512">
        <v>2</v>
      </c>
      <c r="C512" s="7">
        <v>3.4924366666666602</v>
      </c>
      <c r="D512">
        <v>0</v>
      </c>
      <c r="E512" s="3">
        <f t="shared" si="10"/>
        <v>3.4917301313693234E-4</v>
      </c>
    </row>
    <row r="513" spans="1:5" hidden="1" x14ac:dyDescent="0.25">
      <c r="A513">
        <v>20920</v>
      </c>
      <c r="B513">
        <v>6</v>
      </c>
      <c r="C513" s="7">
        <v>3.48667333333333</v>
      </c>
      <c r="D513">
        <v>0</v>
      </c>
      <c r="E513" s="3">
        <f t="shared" si="10"/>
        <v>6.6747354790317771E-4</v>
      </c>
    </row>
    <row r="514" spans="1:5" hidden="1" x14ac:dyDescent="0.25">
      <c r="A514">
        <v>20640</v>
      </c>
      <c r="B514">
        <v>3</v>
      </c>
      <c r="C514" s="7">
        <v>3.4493999999999998</v>
      </c>
      <c r="D514">
        <v>12</v>
      </c>
      <c r="E514" s="3">
        <f t="shared" si="10"/>
        <v>1.5605051183246912E-3</v>
      </c>
    </row>
    <row r="515" spans="1:5" x14ac:dyDescent="0.25">
      <c r="A515">
        <v>20708</v>
      </c>
      <c r="B515">
        <v>0</v>
      </c>
      <c r="C515" s="7">
        <v>3.2774033333333299</v>
      </c>
      <c r="D515">
        <v>12</v>
      </c>
      <c r="E515" s="3">
        <f t="shared" ref="E515:E578" si="11">$C515/SUMIF($B$2:$B$781,B515,$C$2:$C$781)</f>
        <v>7.8800201195890953E-3</v>
      </c>
    </row>
    <row r="516" spans="1:5" hidden="1" x14ac:dyDescent="0.25">
      <c r="A516">
        <v>20700</v>
      </c>
      <c r="B516">
        <v>2</v>
      </c>
      <c r="C516" s="7">
        <v>3.2757133333333299</v>
      </c>
      <c r="D516">
        <v>3</v>
      </c>
      <c r="E516" s="3">
        <f t="shared" si="11"/>
        <v>3.2750506421194714E-4</v>
      </c>
    </row>
    <row r="517" spans="1:5" hidden="1" x14ac:dyDescent="0.25">
      <c r="A517">
        <v>20811</v>
      </c>
      <c r="B517">
        <v>2</v>
      </c>
      <c r="C517" s="7">
        <v>3.26749</v>
      </c>
      <c r="D517">
        <v>9</v>
      </c>
      <c r="E517" s="3">
        <f t="shared" si="11"/>
        <v>3.2668289724026409E-4</v>
      </c>
    </row>
    <row r="518" spans="1:5" hidden="1" x14ac:dyDescent="0.25">
      <c r="A518">
        <v>20946</v>
      </c>
      <c r="B518">
        <v>6</v>
      </c>
      <c r="C518" s="7">
        <v>3.25684</v>
      </c>
      <c r="D518">
        <v>0</v>
      </c>
      <c r="E518" s="3">
        <f t="shared" si="11"/>
        <v>6.2347525619061556E-4</v>
      </c>
    </row>
    <row r="519" spans="1:5" hidden="1" x14ac:dyDescent="0.25">
      <c r="A519">
        <v>20653</v>
      </c>
      <c r="B519">
        <v>2</v>
      </c>
      <c r="C519" s="7">
        <v>3.2378199999999899</v>
      </c>
      <c r="D519">
        <v>12</v>
      </c>
      <c r="E519" s="3">
        <f t="shared" si="11"/>
        <v>3.237164974774119E-4</v>
      </c>
    </row>
    <row r="520" spans="1:5" hidden="1" x14ac:dyDescent="0.25">
      <c r="A520">
        <v>20739</v>
      </c>
      <c r="B520">
        <v>4</v>
      </c>
      <c r="C520" s="7">
        <v>3.19450999999999</v>
      </c>
      <c r="D520">
        <v>12</v>
      </c>
      <c r="E520" s="3">
        <f t="shared" si="11"/>
        <v>8.5568052373759067E-4</v>
      </c>
    </row>
    <row r="521" spans="1:5" hidden="1" x14ac:dyDescent="0.25">
      <c r="A521">
        <v>20924</v>
      </c>
      <c r="B521">
        <v>6</v>
      </c>
      <c r="C521" s="7">
        <v>3.1460733333333302</v>
      </c>
      <c r="D521">
        <v>0</v>
      </c>
      <c r="E521" s="3">
        <f t="shared" si="11"/>
        <v>6.0227056824850524E-4</v>
      </c>
    </row>
    <row r="522" spans="1:5" x14ac:dyDescent="0.25">
      <c r="A522">
        <v>20809</v>
      </c>
      <c r="B522">
        <v>0</v>
      </c>
      <c r="C522" s="7">
        <v>3.1397266666666601</v>
      </c>
      <c r="D522">
        <v>12</v>
      </c>
      <c r="E522" s="3">
        <f t="shared" si="11"/>
        <v>7.5489974186913351E-3</v>
      </c>
    </row>
    <row r="523" spans="1:5" hidden="1" x14ac:dyDescent="0.25">
      <c r="A523">
        <v>20899</v>
      </c>
      <c r="B523">
        <v>6</v>
      </c>
      <c r="C523" s="7">
        <v>3.1324433333333301</v>
      </c>
      <c r="D523">
        <v>0</v>
      </c>
      <c r="E523" s="3">
        <f t="shared" si="11"/>
        <v>5.9966130044846648E-4</v>
      </c>
    </row>
    <row r="524" spans="1:5" hidden="1" x14ac:dyDescent="0.25">
      <c r="A524">
        <v>20962</v>
      </c>
      <c r="B524">
        <v>6</v>
      </c>
      <c r="C524" s="7">
        <v>3.1318999999999999</v>
      </c>
      <c r="D524">
        <v>0</v>
      </c>
      <c r="E524" s="3">
        <f t="shared" si="11"/>
        <v>5.9955728708299726E-4</v>
      </c>
    </row>
    <row r="525" spans="1:5" hidden="1" x14ac:dyDescent="0.25">
      <c r="A525">
        <v>20733</v>
      </c>
      <c r="B525">
        <v>7</v>
      </c>
      <c r="C525" s="7">
        <v>3.07517666666666</v>
      </c>
      <c r="D525">
        <v>12</v>
      </c>
      <c r="E525" s="3">
        <f t="shared" si="11"/>
        <v>4.1535003916257893E-4</v>
      </c>
    </row>
    <row r="526" spans="1:5" x14ac:dyDescent="0.25">
      <c r="A526">
        <v>20744</v>
      </c>
      <c r="B526">
        <v>0</v>
      </c>
      <c r="C526" s="7">
        <v>3.04822333333333</v>
      </c>
      <c r="D526">
        <v>12</v>
      </c>
      <c r="E526" s="3">
        <f t="shared" si="11"/>
        <v>7.3289915071995818E-3</v>
      </c>
    </row>
    <row r="527" spans="1:5" hidden="1" x14ac:dyDescent="0.25">
      <c r="A527">
        <v>20632</v>
      </c>
      <c r="B527">
        <v>2</v>
      </c>
      <c r="C527" s="7">
        <v>2.9809599999999898</v>
      </c>
      <c r="D527">
        <v>12</v>
      </c>
      <c r="E527" s="3">
        <f t="shared" si="11"/>
        <v>2.9803569386817845E-4</v>
      </c>
    </row>
    <row r="528" spans="1:5" hidden="1" x14ac:dyDescent="0.25">
      <c r="A528">
        <v>20629</v>
      </c>
      <c r="B528">
        <v>3</v>
      </c>
      <c r="C528" s="7">
        <v>2.96146333333333</v>
      </c>
      <c r="D528">
        <v>12</v>
      </c>
      <c r="E528" s="3">
        <f t="shared" si="11"/>
        <v>1.3397630571686562E-3</v>
      </c>
    </row>
    <row r="529" spans="1:5" hidden="1" x14ac:dyDescent="0.25">
      <c r="A529">
        <v>20749</v>
      </c>
      <c r="B529">
        <v>4</v>
      </c>
      <c r="C529" s="7">
        <v>2.9209499999999999</v>
      </c>
      <c r="D529">
        <v>12</v>
      </c>
      <c r="E529" s="3">
        <f t="shared" si="11"/>
        <v>7.824048213376459E-4</v>
      </c>
    </row>
    <row r="530" spans="1:5" hidden="1" x14ac:dyDescent="0.25">
      <c r="A530">
        <v>20777</v>
      </c>
      <c r="B530">
        <v>7</v>
      </c>
      <c r="C530" s="7">
        <v>2.91107</v>
      </c>
      <c r="D530">
        <v>12</v>
      </c>
      <c r="E530" s="3">
        <f t="shared" si="11"/>
        <v>3.9318490271182617E-4</v>
      </c>
    </row>
    <row r="531" spans="1:5" hidden="1" x14ac:dyDescent="0.25">
      <c r="A531">
        <v>20751</v>
      </c>
      <c r="B531">
        <v>7</v>
      </c>
      <c r="C531" s="7">
        <v>2.8954</v>
      </c>
      <c r="D531">
        <v>12</v>
      </c>
      <c r="E531" s="3">
        <f t="shared" si="11"/>
        <v>3.9106842752383882E-4</v>
      </c>
    </row>
    <row r="532" spans="1:5" hidden="1" x14ac:dyDescent="0.25">
      <c r="A532">
        <v>20655</v>
      </c>
      <c r="B532">
        <v>3</v>
      </c>
      <c r="C532" s="7">
        <v>2.89184333333333</v>
      </c>
      <c r="D532">
        <v>12</v>
      </c>
      <c r="E532" s="3">
        <f t="shared" si="11"/>
        <v>1.3082670386327471E-3</v>
      </c>
    </row>
    <row r="533" spans="1:5" hidden="1" x14ac:dyDescent="0.25">
      <c r="A533">
        <v>20641</v>
      </c>
      <c r="B533">
        <v>2</v>
      </c>
      <c r="C533" s="7">
        <v>2.8812499999999899</v>
      </c>
      <c r="D533">
        <v>12</v>
      </c>
      <c r="E533" s="3">
        <f t="shared" si="11"/>
        <v>2.880667110453307E-4</v>
      </c>
    </row>
    <row r="534" spans="1:5" hidden="1" x14ac:dyDescent="0.25">
      <c r="A534">
        <v>20817</v>
      </c>
      <c r="B534">
        <v>2</v>
      </c>
      <c r="C534" s="7">
        <v>2.8513333333333302</v>
      </c>
      <c r="D534">
        <v>2</v>
      </c>
      <c r="E534" s="3">
        <f t="shared" si="11"/>
        <v>2.8507564960598871E-4</v>
      </c>
    </row>
    <row r="535" spans="1:5" hidden="1" x14ac:dyDescent="0.25">
      <c r="A535">
        <v>20975</v>
      </c>
      <c r="B535">
        <v>6</v>
      </c>
      <c r="C535" s="7">
        <v>2.8163133333333299</v>
      </c>
      <c r="D535">
        <v>0</v>
      </c>
      <c r="E535" s="3">
        <f t="shared" si="11"/>
        <v>5.3914275095277766E-4</v>
      </c>
    </row>
    <row r="536" spans="1:5" hidden="1" x14ac:dyDescent="0.25">
      <c r="A536">
        <v>20793</v>
      </c>
      <c r="B536">
        <v>1</v>
      </c>
      <c r="C536" s="7">
        <v>2.7834199999999898</v>
      </c>
      <c r="D536">
        <v>12</v>
      </c>
      <c r="E536" s="3">
        <f t="shared" si="11"/>
        <v>1.6931215223289536E-3</v>
      </c>
    </row>
    <row r="537" spans="1:5" hidden="1" x14ac:dyDescent="0.25">
      <c r="A537">
        <v>20651</v>
      </c>
      <c r="B537">
        <v>2</v>
      </c>
      <c r="C537" s="7">
        <v>2.78047333333333</v>
      </c>
      <c r="D537">
        <v>12</v>
      </c>
      <c r="E537" s="3">
        <f t="shared" si="11"/>
        <v>2.7799108313495275E-4</v>
      </c>
    </row>
    <row r="538" spans="1:5" hidden="1" x14ac:dyDescent="0.25">
      <c r="A538">
        <v>20761</v>
      </c>
      <c r="B538">
        <v>4</v>
      </c>
      <c r="C538" s="7">
        <v>2.7631733333333299</v>
      </c>
      <c r="D538">
        <v>12</v>
      </c>
      <c r="E538" s="3">
        <f t="shared" si="11"/>
        <v>7.4014280908321324E-4</v>
      </c>
    </row>
    <row r="539" spans="1:5" hidden="1" x14ac:dyDescent="0.25">
      <c r="A539">
        <v>20932</v>
      </c>
      <c r="B539">
        <v>6</v>
      </c>
      <c r="C539" s="7">
        <v>2.7605533333333301</v>
      </c>
      <c r="D539">
        <v>0</v>
      </c>
      <c r="E539" s="3">
        <f t="shared" si="11"/>
        <v>5.2846829955658107E-4</v>
      </c>
    </row>
    <row r="540" spans="1:5" hidden="1" x14ac:dyDescent="0.25">
      <c r="A540">
        <v>20677</v>
      </c>
      <c r="B540">
        <v>3</v>
      </c>
      <c r="C540" s="7">
        <v>2.69174333333333</v>
      </c>
      <c r="D540">
        <v>12</v>
      </c>
      <c r="E540" s="3">
        <f t="shared" si="11"/>
        <v>1.2177419982846371E-3</v>
      </c>
    </row>
    <row r="541" spans="1:5" hidden="1" x14ac:dyDescent="0.25">
      <c r="A541">
        <v>20995</v>
      </c>
      <c r="B541">
        <v>6</v>
      </c>
      <c r="C541" s="7">
        <v>2.6710799999999999</v>
      </c>
      <c r="D541">
        <v>0</v>
      </c>
      <c r="E541" s="3">
        <f t="shared" si="11"/>
        <v>5.1133991455080052E-4</v>
      </c>
    </row>
    <row r="542" spans="1:5" hidden="1" x14ac:dyDescent="0.25">
      <c r="A542">
        <v>20968</v>
      </c>
      <c r="B542">
        <v>6</v>
      </c>
      <c r="C542" s="7">
        <v>2.6503866666666598</v>
      </c>
      <c r="D542">
        <v>0</v>
      </c>
      <c r="E542" s="3">
        <f t="shared" si="11"/>
        <v>5.073784729996522E-4</v>
      </c>
    </row>
    <row r="543" spans="1:5" hidden="1" x14ac:dyDescent="0.25">
      <c r="A543">
        <v>21007</v>
      </c>
      <c r="B543">
        <v>6</v>
      </c>
      <c r="C543" s="7">
        <v>2.6287099999999999</v>
      </c>
      <c r="D543">
        <v>0</v>
      </c>
      <c r="E543" s="3">
        <f t="shared" si="11"/>
        <v>5.0322878640057019E-4</v>
      </c>
    </row>
    <row r="544" spans="1:5" hidden="1" x14ac:dyDescent="0.25">
      <c r="A544">
        <v>20908</v>
      </c>
      <c r="B544">
        <v>2</v>
      </c>
      <c r="C544" s="7">
        <v>2.5718899999999998</v>
      </c>
      <c r="D544">
        <v>4</v>
      </c>
      <c r="E544" s="3">
        <f t="shared" si="11"/>
        <v>2.5713696953418762E-4</v>
      </c>
    </row>
    <row r="545" spans="1:5" hidden="1" x14ac:dyDescent="0.25">
      <c r="A545">
        <v>20609</v>
      </c>
      <c r="B545">
        <v>2</v>
      </c>
      <c r="C545" s="7">
        <v>2.5491299999999999</v>
      </c>
      <c r="D545">
        <v>12</v>
      </c>
      <c r="E545" s="3">
        <f t="shared" si="11"/>
        <v>2.5486142997899745E-4</v>
      </c>
    </row>
    <row r="546" spans="1:5" hidden="1" x14ac:dyDescent="0.25">
      <c r="A546">
        <v>20614</v>
      </c>
      <c r="B546">
        <v>2</v>
      </c>
      <c r="C546" s="7">
        <v>2.5359699999999998</v>
      </c>
      <c r="D546">
        <v>12</v>
      </c>
      <c r="E546" s="3">
        <f t="shared" si="11"/>
        <v>2.5354569621158517E-4</v>
      </c>
    </row>
    <row r="547" spans="1:5" hidden="1" x14ac:dyDescent="0.25">
      <c r="A547">
        <v>20617</v>
      </c>
      <c r="B547">
        <v>2</v>
      </c>
      <c r="C547" s="7">
        <v>2.53369</v>
      </c>
      <c r="D547">
        <v>12</v>
      </c>
      <c r="E547" s="3">
        <f t="shared" si="11"/>
        <v>2.5331774233698797E-4</v>
      </c>
    </row>
    <row r="548" spans="1:5" hidden="1" x14ac:dyDescent="0.25">
      <c r="A548">
        <v>20697</v>
      </c>
      <c r="B548">
        <v>2</v>
      </c>
      <c r="C548" s="7">
        <v>2.5155400000000001</v>
      </c>
      <c r="D548">
        <v>12</v>
      </c>
      <c r="E548" s="3">
        <f t="shared" si="11"/>
        <v>2.515031095194703E-4</v>
      </c>
    </row>
    <row r="549" spans="1:5" hidden="1" x14ac:dyDescent="0.25">
      <c r="A549">
        <v>20664</v>
      </c>
      <c r="B549">
        <v>3</v>
      </c>
      <c r="C549" s="7">
        <v>2.4791133333333302</v>
      </c>
      <c r="D549">
        <v>12</v>
      </c>
      <c r="E549" s="3">
        <f t="shared" si="11"/>
        <v>1.1215483984384671E-3</v>
      </c>
    </row>
    <row r="550" spans="1:5" hidden="1" x14ac:dyDescent="0.25">
      <c r="A550">
        <v>20735</v>
      </c>
      <c r="B550">
        <v>2</v>
      </c>
      <c r="C550" s="7">
        <v>2.4735433333333301</v>
      </c>
      <c r="D550">
        <v>12</v>
      </c>
      <c r="E550" s="3">
        <f t="shared" si="11"/>
        <v>2.4730429246383999E-4</v>
      </c>
    </row>
    <row r="551" spans="1:5" hidden="1" x14ac:dyDescent="0.25">
      <c r="A551">
        <v>20807</v>
      </c>
      <c r="B551">
        <v>7</v>
      </c>
      <c r="C551" s="7">
        <v>2.46464333333333</v>
      </c>
      <c r="D551">
        <v>12</v>
      </c>
      <c r="E551" s="3">
        <f t="shared" si="11"/>
        <v>3.3288809586716099E-4</v>
      </c>
    </row>
    <row r="552" spans="1:5" hidden="1" x14ac:dyDescent="0.25">
      <c r="A552">
        <v>20835</v>
      </c>
      <c r="B552">
        <v>2</v>
      </c>
      <c r="C552" s="7">
        <v>2.4460799999999998</v>
      </c>
      <c r="D552">
        <v>2</v>
      </c>
      <c r="E552" s="3">
        <f t="shared" si="11"/>
        <v>2.4455851472581863E-4</v>
      </c>
    </row>
    <row r="553" spans="1:5" hidden="1" x14ac:dyDescent="0.25">
      <c r="A553">
        <v>20302</v>
      </c>
      <c r="B553">
        <v>2</v>
      </c>
      <c r="C553" s="7">
        <v>2.4269733333333301</v>
      </c>
      <c r="D553">
        <v>12</v>
      </c>
      <c r="E553" s="3">
        <f t="shared" si="11"/>
        <v>2.4264823459542142E-4</v>
      </c>
    </row>
    <row r="554" spans="1:5" hidden="1" x14ac:dyDescent="0.25">
      <c r="A554">
        <v>20902</v>
      </c>
      <c r="B554">
        <v>3</v>
      </c>
      <c r="C554" s="7">
        <v>2.3908999999999998</v>
      </c>
      <c r="D554">
        <v>4</v>
      </c>
      <c r="E554" s="3">
        <f t="shared" si="11"/>
        <v>1.081640774454254E-3</v>
      </c>
    </row>
    <row r="555" spans="1:5" hidden="1" x14ac:dyDescent="0.25">
      <c r="A555">
        <v>20831</v>
      </c>
      <c r="B555">
        <v>1</v>
      </c>
      <c r="C555" s="7">
        <v>2.3883700000000001</v>
      </c>
      <c r="D555">
        <v>12</v>
      </c>
      <c r="E555" s="3">
        <f t="shared" si="11"/>
        <v>1.452817271660338E-3</v>
      </c>
    </row>
    <row r="556" spans="1:5" x14ac:dyDescent="0.25">
      <c r="A556">
        <v>20756</v>
      </c>
      <c r="B556">
        <v>0</v>
      </c>
      <c r="C556" s="7">
        <v>2.3856533333333299</v>
      </c>
      <c r="D556">
        <v>12</v>
      </c>
      <c r="E556" s="3">
        <f t="shared" si="11"/>
        <v>5.7359422545993572E-3</v>
      </c>
    </row>
    <row r="557" spans="1:5" hidden="1" x14ac:dyDescent="0.25">
      <c r="A557">
        <v>20942</v>
      </c>
      <c r="B557">
        <v>6</v>
      </c>
      <c r="C557" s="7">
        <v>2.34510666666666</v>
      </c>
      <c r="D557">
        <v>0</v>
      </c>
      <c r="E557" s="3">
        <f t="shared" si="11"/>
        <v>4.4893700021932803E-4</v>
      </c>
    </row>
    <row r="558" spans="1:5" hidden="1" x14ac:dyDescent="0.25">
      <c r="A558">
        <v>20644</v>
      </c>
      <c r="B558">
        <v>2</v>
      </c>
      <c r="C558" s="7">
        <v>2.3423400000000001</v>
      </c>
      <c r="D558">
        <v>12</v>
      </c>
      <c r="E558" s="3">
        <f t="shared" si="11"/>
        <v>2.3418661343164331E-4</v>
      </c>
    </row>
    <row r="559" spans="1:5" hidden="1" x14ac:dyDescent="0.25">
      <c r="A559">
        <v>20750</v>
      </c>
      <c r="B559">
        <v>3</v>
      </c>
      <c r="C559" s="7">
        <v>2.2615599999999998</v>
      </c>
      <c r="D559">
        <v>12</v>
      </c>
      <c r="E559" s="3">
        <f t="shared" si="11"/>
        <v>1.0231274875046061E-3</v>
      </c>
    </row>
    <row r="560" spans="1:5" hidden="1" x14ac:dyDescent="0.25">
      <c r="A560">
        <v>20742</v>
      </c>
      <c r="B560">
        <v>7</v>
      </c>
      <c r="C560" s="7">
        <v>2.19956</v>
      </c>
      <c r="D560">
        <v>12</v>
      </c>
      <c r="E560" s="3">
        <f t="shared" si="11"/>
        <v>2.9708450315822855E-4</v>
      </c>
    </row>
    <row r="561" spans="1:5" hidden="1" x14ac:dyDescent="0.25">
      <c r="A561">
        <v>20305</v>
      </c>
      <c r="B561">
        <v>2</v>
      </c>
      <c r="C561" s="7">
        <v>2.1775333333333302</v>
      </c>
      <c r="D561">
        <v>12</v>
      </c>
      <c r="E561" s="3">
        <f t="shared" si="11"/>
        <v>2.1770928087632465E-4</v>
      </c>
    </row>
    <row r="562" spans="1:5" hidden="1" x14ac:dyDescent="0.25">
      <c r="A562">
        <v>20786</v>
      </c>
      <c r="B562">
        <v>6</v>
      </c>
      <c r="C562" s="7">
        <v>2.1700300000000001</v>
      </c>
      <c r="D562">
        <v>12</v>
      </c>
      <c r="E562" s="3">
        <f t="shared" si="11"/>
        <v>4.1542108614218737E-4</v>
      </c>
    </row>
    <row r="563" spans="1:5" hidden="1" x14ac:dyDescent="0.25">
      <c r="A563">
        <v>21035</v>
      </c>
      <c r="B563">
        <v>6</v>
      </c>
      <c r="C563" s="7">
        <v>2.16906</v>
      </c>
      <c r="D563">
        <v>0</v>
      </c>
      <c r="E563" s="3">
        <f t="shared" si="11"/>
        <v>4.1523539356947732E-4</v>
      </c>
    </row>
    <row r="564" spans="1:5" hidden="1" x14ac:dyDescent="0.25">
      <c r="A564">
        <v>20810</v>
      </c>
      <c r="B564">
        <v>2</v>
      </c>
      <c r="C564" s="7">
        <v>2.1103666666666601</v>
      </c>
      <c r="D564">
        <v>12</v>
      </c>
      <c r="E564" s="3">
        <f t="shared" si="11"/>
        <v>2.1099397302086408E-4</v>
      </c>
    </row>
    <row r="565" spans="1:5" hidden="1" x14ac:dyDescent="0.25">
      <c r="A565">
        <v>20555</v>
      </c>
      <c r="B565">
        <v>2</v>
      </c>
      <c r="C565" s="7">
        <v>2.0803933333333302</v>
      </c>
      <c r="D565">
        <v>12</v>
      </c>
      <c r="E565" s="3">
        <f t="shared" si="11"/>
        <v>2.0799724606124665E-4</v>
      </c>
    </row>
    <row r="566" spans="1:5" hidden="1" x14ac:dyDescent="0.25">
      <c r="A566">
        <v>20862</v>
      </c>
      <c r="B566">
        <v>7</v>
      </c>
      <c r="C566" s="7">
        <v>2.0704199999999999</v>
      </c>
      <c r="D566">
        <v>12</v>
      </c>
      <c r="E566" s="3">
        <f t="shared" si="11"/>
        <v>2.796421543530795E-4</v>
      </c>
    </row>
    <row r="567" spans="1:5" hidden="1" x14ac:dyDescent="0.25">
      <c r="A567">
        <v>20724</v>
      </c>
      <c r="B567">
        <v>7</v>
      </c>
      <c r="C567" s="7">
        <v>2.0660033333333301</v>
      </c>
      <c r="D567">
        <v>12</v>
      </c>
      <c r="E567" s="3">
        <f t="shared" si="11"/>
        <v>2.7904561539879633E-4</v>
      </c>
    </row>
    <row r="568" spans="1:5" hidden="1" x14ac:dyDescent="0.25">
      <c r="A568">
        <v>20715</v>
      </c>
      <c r="B568">
        <v>2</v>
      </c>
      <c r="C568" s="7">
        <v>2.0442199999999899</v>
      </c>
      <c r="D568">
        <v>12</v>
      </c>
      <c r="E568" s="3">
        <f t="shared" si="11"/>
        <v>2.0438064453035491E-4</v>
      </c>
    </row>
    <row r="569" spans="1:5" hidden="1" x14ac:dyDescent="0.25">
      <c r="A569">
        <v>20820</v>
      </c>
      <c r="B569">
        <v>2</v>
      </c>
      <c r="C569" s="7">
        <v>2.0235766666666599</v>
      </c>
      <c r="D569">
        <v>12</v>
      </c>
      <c r="E569" s="3">
        <f t="shared" si="11"/>
        <v>2.0231672882073414E-4</v>
      </c>
    </row>
    <row r="570" spans="1:5" hidden="1" x14ac:dyDescent="0.25">
      <c r="A570">
        <v>20849</v>
      </c>
      <c r="B570">
        <v>4</v>
      </c>
      <c r="C570" s="7">
        <v>2.0179</v>
      </c>
      <c r="D570">
        <v>12</v>
      </c>
      <c r="E570" s="3">
        <f t="shared" si="11"/>
        <v>5.4051410978525334E-4</v>
      </c>
    </row>
    <row r="571" spans="1:5" hidden="1" x14ac:dyDescent="0.25">
      <c r="A571">
        <v>20775</v>
      </c>
      <c r="B571">
        <v>7</v>
      </c>
      <c r="C571" s="7">
        <v>1.9747399999999999</v>
      </c>
      <c r="D571">
        <v>12</v>
      </c>
      <c r="E571" s="3">
        <f t="shared" si="11"/>
        <v>2.6671909462196088E-4</v>
      </c>
    </row>
    <row r="572" spans="1:5" hidden="1" x14ac:dyDescent="0.25">
      <c r="A572">
        <v>20702</v>
      </c>
      <c r="B572">
        <v>2</v>
      </c>
      <c r="C572" s="7">
        <v>1.9714866666666599</v>
      </c>
      <c r="D572">
        <v>12</v>
      </c>
      <c r="E572" s="3">
        <f t="shared" si="11"/>
        <v>1.9710878262434325E-4</v>
      </c>
    </row>
    <row r="573" spans="1:5" hidden="1" x14ac:dyDescent="0.25">
      <c r="A573">
        <v>20759</v>
      </c>
      <c r="B573">
        <v>2</v>
      </c>
      <c r="C573" s="7">
        <v>1.96989666666666</v>
      </c>
      <c r="D573">
        <v>12</v>
      </c>
      <c r="E573" s="3">
        <f t="shared" si="11"/>
        <v>1.9694981479074253E-4</v>
      </c>
    </row>
    <row r="574" spans="1:5" hidden="1" x14ac:dyDescent="0.25">
      <c r="A574">
        <v>20713</v>
      </c>
      <c r="B574">
        <v>4</v>
      </c>
      <c r="C574" s="7">
        <v>1.8971566666666599</v>
      </c>
      <c r="D574">
        <v>12</v>
      </c>
      <c r="E574" s="3">
        <f t="shared" si="11"/>
        <v>5.0817183547573631E-4</v>
      </c>
    </row>
    <row r="575" spans="1:5" hidden="1" x14ac:dyDescent="0.25">
      <c r="A575">
        <v>20823</v>
      </c>
      <c r="B575">
        <v>4</v>
      </c>
      <c r="C575" s="7">
        <v>1.88991333333333</v>
      </c>
      <c r="D575">
        <v>12</v>
      </c>
      <c r="E575" s="3">
        <f t="shared" si="11"/>
        <v>5.0623163830613299E-4</v>
      </c>
    </row>
    <row r="576" spans="1:5" hidden="1" x14ac:dyDescent="0.25">
      <c r="A576">
        <v>20832</v>
      </c>
      <c r="B576">
        <v>2</v>
      </c>
      <c r="C576" s="7">
        <v>1.8861066666666599</v>
      </c>
      <c r="D576">
        <v>12</v>
      </c>
      <c r="E576" s="3">
        <f t="shared" si="11"/>
        <v>1.8857250989929319E-4</v>
      </c>
    </row>
    <row r="577" spans="1:5" hidden="1" x14ac:dyDescent="0.25">
      <c r="A577">
        <v>21058</v>
      </c>
      <c r="B577">
        <v>6</v>
      </c>
      <c r="C577" s="7">
        <v>1.8821933333333301</v>
      </c>
      <c r="D577">
        <v>0</v>
      </c>
      <c r="E577" s="3">
        <f t="shared" si="11"/>
        <v>3.6031888907661001E-4</v>
      </c>
    </row>
    <row r="578" spans="1:5" hidden="1" x14ac:dyDescent="0.25">
      <c r="A578">
        <v>20676</v>
      </c>
      <c r="B578">
        <v>7</v>
      </c>
      <c r="C578" s="7">
        <v>1.8727799999999999</v>
      </c>
      <c r="D578">
        <v>12</v>
      </c>
      <c r="E578" s="3">
        <f t="shared" si="11"/>
        <v>2.5294782403056395E-4</v>
      </c>
    </row>
    <row r="579" spans="1:5" hidden="1" x14ac:dyDescent="0.25">
      <c r="A579">
        <v>20730</v>
      </c>
      <c r="B579">
        <v>2</v>
      </c>
      <c r="C579" s="7">
        <v>1.8535233333333301</v>
      </c>
      <c r="D579">
        <v>12</v>
      </c>
      <c r="E579" s="3">
        <f t="shared" ref="E579:E642" si="12">$C579/SUMIF($B$2:$B$781,B579,$C$2:$C$781)</f>
        <v>1.8531483574112364E-4</v>
      </c>
    </row>
    <row r="580" spans="1:5" hidden="1" x14ac:dyDescent="0.25">
      <c r="A580">
        <v>20801</v>
      </c>
      <c r="B580">
        <v>7</v>
      </c>
      <c r="C580" s="7">
        <v>1.82866666666666</v>
      </c>
      <c r="D580">
        <v>12</v>
      </c>
      <c r="E580" s="3">
        <f t="shared" si="12"/>
        <v>2.4698963797699478E-4</v>
      </c>
    </row>
    <row r="581" spans="1:5" hidden="1" x14ac:dyDescent="0.25">
      <c r="A581">
        <v>20428</v>
      </c>
      <c r="B581">
        <v>2</v>
      </c>
      <c r="C581" s="7">
        <v>1.80544333333333</v>
      </c>
      <c r="D581">
        <v>12</v>
      </c>
      <c r="E581" s="3">
        <f t="shared" si="12"/>
        <v>1.8050780842066911E-4</v>
      </c>
    </row>
    <row r="582" spans="1:5" hidden="1" x14ac:dyDescent="0.25">
      <c r="A582">
        <v>21027</v>
      </c>
      <c r="B582">
        <v>1</v>
      </c>
      <c r="C582" s="7">
        <v>1.7855666666666601</v>
      </c>
      <c r="D582">
        <v>12</v>
      </c>
      <c r="E582" s="3">
        <f t="shared" si="12"/>
        <v>1.0861391212560454E-3</v>
      </c>
    </row>
    <row r="583" spans="1:5" hidden="1" x14ac:dyDescent="0.25">
      <c r="A583">
        <v>20967</v>
      </c>
      <c r="B583">
        <v>2</v>
      </c>
      <c r="C583" s="7">
        <v>1.77433</v>
      </c>
      <c r="D583">
        <v>4</v>
      </c>
      <c r="E583" s="3">
        <f t="shared" si="12"/>
        <v>1.7739710452375302E-4</v>
      </c>
    </row>
    <row r="584" spans="1:5" hidden="1" x14ac:dyDescent="0.25">
      <c r="A584">
        <v>20838</v>
      </c>
      <c r="B584">
        <v>4</v>
      </c>
      <c r="C584" s="7">
        <v>1.7495066666666601</v>
      </c>
      <c r="D584">
        <v>12</v>
      </c>
      <c r="E584" s="3">
        <f t="shared" si="12"/>
        <v>4.6862234922280381E-4</v>
      </c>
    </row>
    <row r="585" spans="1:5" hidden="1" x14ac:dyDescent="0.25">
      <c r="A585">
        <v>20743</v>
      </c>
      <c r="B585">
        <v>3</v>
      </c>
      <c r="C585" s="7">
        <v>1.74321666666666</v>
      </c>
      <c r="D585">
        <v>12</v>
      </c>
      <c r="E585" s="3">
        <f t="shared" si="12"/>
        <v>7.8862948068714276E-4</v>
      </c>
    </row>
    <row r="586" spans="1:5" hidden="1" x14ac:dyDescent="0.25">
      <c r="A586">
        <v>20865</v>
      </c>
      <c r="B586">
        <v>7</v>
      </c>
      <c r="C586" s="7">
        <v>1.74136</v>
      </c>
      <c r="D586">
        <v>12</v>
      </c>
      <c r="E586" s="3">
        <f t="shared" si="12"/>
        <v>2.351975260595814E-4</v>
      </c>
    </row>
    <row r="587" spans="1:5" hidden="1" x14ac:dyDescent="0.25">
      <c r="A587">
        <v>20350</v>
      </c>
      <c r="B587">
        <v>2</v>
      </c>
      <c r="C587" s="7">
        <v>1.7320499999999901</v>
      </c>
      <c r="D587">
        <v>12</v>
      </c>
      <c r="E587" s="3">
        <f t="shared" si="12"/>
        <v>1.731699598667467E-4</v>
      </c>
    </row>
    <row r="588" spans="1:5" x14ac:dyDescent="0.25">
      <c r="A588">
        <v>20826</v>
      </c>
      <c r="B588">
        <v>0</v>
      </c>
      <c r="C588" s="7">
        <v>1.7231399999999999</v>
      </c>
      <c r="D588">
        <v>12</v>
      </c>
      <c r="E588" s="3">
        <f t="shared" si="12"/>
        <v>4.1430292484198666E-3</v>
      </c>
    </row>
    <row r="589" spans="1:5" hidden="1" x14ac:dyDescent="0.25">
      <c r="A589">
        <v>20768</v>
      </c>
      <c r="B589">
        <v>2</v>
      </c>
      <c r="C589" s="7">
        <v>1.7229033333333299</v>
      </c>
      <c r="D589">
        <v>12</v>
      </c>
      <c r="E589" s="3">
        <f t="shared" si="12"/>
        <v>1.7225547824117004E-4</v>
      </c>
    </row>
    <row r="590" spans="1:5" hidden="1" x14ac:dyDescent="0.25">
      <c r="A590">
        <v>20966</v>
      </c>
      <c r="B590">
        <v>6</v>
      </c>
      <c r="C590" s="7">
        <v>1.7133066666666601</v>
      </c>
      <c r="D590">
        <v>0</v>
      </c>
      <c r="E590" s="3">
        <f t="shared" si="12"/>
        <v>3.2798796162325608E-4</v>
      </c>
    </row>
    <row r="591" spans="1:5" hidden="1" x14ac:dyDescent="0.25">
      <c r="A591">
        <v>20647</v>
      </c>
      <c r="B591">
        <v>2</v>
      </c>
      <c r="C591" s="7">
        <v>1.70966333333333</v>
      </c>
      <c r="D591">
        <v>12</v>
      </c>
      <c r="E591" s="3">
        <f t="shared" si="12"/>
        <v>1.7093174609219297E-4</v>
      </c>
    </row>
    <row r="592" spans="1:5" hidden="1" x14ac:dyDescent="0.25">
      <c r="A592">
        <v>20741</v>
      </c>
      <c r="B592">
        <v>3</v>
      </c>
      <c r="C592" s="7">
        <v>1.7089666666666601</v>
      </c>
      <c r="D592">
        <v>12</v>
      </c>
      <c r="E592" s="3">
        <f t="shared" si="12"/>
        <v>7.7313481486044233E-4</v>
      </c>
    </row>
    <row r="593" spans="1:5" hidden="1" x14ac:dyDescent="0.25">
      <c r="A593">
        <v>20945</v>
      </c>
      <c r="B593">
        <v>7</v>
      </c>
      <c r="C593" s="7">
        <v>1.6938633333333299</v>
      </c>
      <c r="D593">
        <v>12</v>
      </c>
      <c r="E593" s="3">
        <f t="shared" si="12"/>
        <v>2.2878236865612813E-4</v>
      </c>
    </row>
    <row r="594" spans="1:5" hidden="1" x14ac:dyDescent="0.25">
      <c r="A594">
        <v>21114</v>
      </c>
      <c r="B594">
        <v>6</v>
      </c>
      <c r="C594" s="7">
        <v>1.6925733333333299</v>
      </c>
      <c r="D594">
        <v>0</v>
      </c>
      <c r="E594" s="3">
        <f t="shared" si="12"/>
        <v>3.2401886264643088E-4</v>
      </c>
    </row>
    <row r="595" spans="1:5" hidden="1" x14ac:dyDescent="0.25">
      <c r="A595">
        <v>21039</v>
      </c>
      <c r="B595">
        <v>6</v>
      </c>
      <c r="C595" s="7">
        <v>1.69184333333333</v>
      </c>
      <c r="D595">
        <v>0</v>
      </c>
      <c r="E595" s="3">
        <f t="shared" si="12"/>
        <v>3.2387911462779348E-4</v>
      </c>
    </row>
    <row r="596" spans="1:5" hidden="1" x14ac:dyDescent="0.25">
      <c r="A596">
        <v>20855</v>
      </c>
      <c r="B596">
        <v>2</v>
      </c>
      <c r="C596" s="7">
        <v>1.65336666666666</v>
      </c>
      <c r="D596">
        <v>12</v>
      </c>
      <c r="E596" s="3">
        <f t="shared" si="12"/>
        <v>1.6530321833185181E-4</v>
      </c>
    </row>
    <row r="597" spans="1:5" hidden="1" x14ac:dyDescent="0.25">
      <c r="A597">
        <v>20588</v>
      </c>
      <c r="B597">
        <v>2</v>
      </c>
      <c r="C597" s="7">
        <v>1.6489199999999999</v>
      </c>
      <c r="D597">
        <v>12</v>
      </c>
      <c r="E597" s="3">
        <f t="shared" si="12"/>
        <v>1.6485864162320811E-4</v>
      </c>
    </row>
    <row r="598" spans="1:5" hidden="1" x14ac:dyDescent="0.25">
      <c r="A598">
        <v>20789</v>
      </c>
      <c r="B598">
        <v>2</v>
      </c>
      <c r="C598" s="7">
        <v>1.6388466666666599</v>
      </c>
      <c r="D598">
        <v>12</v>
      </c>
      <c r="E598" s="3">
        <f t="shared" si="12"/>
        <v>1.6385151207783767E-4</v>
      </c>
    </row>
    <row r="599" spans="1:5" hidden="1" x14ac:dyDescent="0.25">
      <c r="A599">
        <v>20878</v>
      </c>
      <c r="B599">
        <v>2</v>
      </c>
      <c r="C599" s="7">
        <v>1.63794666666666</v>
      </c>
      <c r="D599">
        <v>12</v>
      </c>
      <c r="E599" s="3">
        <f t="shared" si="12"/>
        <v>1.6376153028523351E-4</v>
      </c>
    </row>
    <row r="600" spans="1:5" hidden="1" x14ac:dyDescent="0.25">
      <c r="A600">
        <v>20863</v>
      </c>
      <c r="B600">
        <v>2</v>
      </c>
      <c r="C600" s="7">
        <v>1.6012566666666599</v>
      </c>
      <c r="D600">
        <v>12</v>
      </c>
      <c r="E600" s="3">
        <f t="shared" si="12"/>
        <v>1.6009327254006968E-4</v>
      </c>
    </row>
    <row r="601" spans="1:5" hidden="1" x14ac:dyDescent="0.25">
      <c r="A601">
        <v>20745</v>
      </c>
      <c r="B601">
        <v>2</v>
      </c>
      <c r="C601" s="7">
        <v>1.6005033333333301</v>
      </c>
      <c r="D601">
        <v>12</v>
      </c>
      <c r="E601" s="3">
        <f t="shared" si="12"/>
        <v>1.6001795444700134E-4</v>
      </c>
    </row>
    <row r="602" spans="1:5" hidden="1" x14ac:dyDescent="0.25">
      <c r="A602">
        <v>21110</v>
      </c>
      <c r="B602">
        <v>6</v>
      </c>
      <c r="C602" s="7">
        <v>1.5821499999999999</v>
      </c>
      <c r="D602">
        <v>0</v>
      </c>
      <c r="E602" s="3">
        <f t="shared" si="12"/>
        <v>3.0287990094139791E-4</v>
      </c>
    </row>
    <row r="603" spans="1:5" hidden="1" x14ac:dyDescent="0.25">
      <c r="A603">
        <v>20721</v>
      </c>
      <c r="B603">
        <v>2</v>
      </c>
      <c r="C603" s="7">
        <v>1.53815666666666</v>
      </c>
      <c r="D603">
        <v>12</v>
      </c>
      <c r="E603" s="3">
        <f t="shared" si="12"/>
        <v>1.5378454908082095E-4</v>
      </c>
    </row>
    <row r="604" spans="1:5" hidden="1" x14ac:dyDescent="0.25">
      <c r="A604">
        <v>21097</v>
      </c>
      <c r="B604">
        <v>6</v>
      </c>
      <c r="C604" s="7">
        <v>1.5381466666666599</v>
      </c>
      <c r="D604">
        <v>0</v>
      </c>
      <c r="E604" s="3">
        <f t="shared" si="12"/>
        <v>2.9445609457595E-4</v>
      </c>
    </row>
    <row r="605" spans="1:5" hidden="1" x14ac:dyDescent="0.25">
      <c r="A605">
        <v>20660</v>
      </c>
      <c r="B605">
        <v>2</v>
      </c>
      <c r="C605" s="7">
        <v>1.53538999999999</v>
      </c>
      <c r="D605">
        <v>12</v>
      </c>
      <c r="E605" s="3">
        <f t="shared" si="12"/>
        <v>1.5350793838503739E-4</v>
      </c>
    </row>
    <row r="606" spans="1:5" hidden="1" x14ac:dyDescent="0.25">
      <c r="A606">
        <v>20913</v>
      </c>
      <c r="B606">
        <v>7</v>
      </c>
      <c r="C606" s="7">
        <v>1.51778666666666</v>
      </c>
      <c r="D606">
        <v>12</v>
      </c>
      <c r="E606" s="3">
        <f t="shared" si="12"/>
        <v>2.0500049908474811E-4</v>
      </c>
    </row>
    <row r="607" spans="1:5" hidden="1" x14ac:dyDescent="0.25">
      <c r="A607">
        <v>20788</v>
      </c>
      <c r="B607">
        <v>4</v>
      </c>
      <c r="C607" s="7">
        <v>1.5032066666666599</v>
      </c>
      <c r="D607">
        <v>12</v>
      </c>
      <c r="E607" s="3">
        <f t="shared" si="12"/>
        <v>4.0264850253064462E-4</v>
      </c>
    </row>
    <row r="608" spans="1:5" hidden="1" x14ac:dyDescent="0.25">
      <c r="A608">
        <v>20845</v>
      </c>
      <c r="B608">
        <v>2</v>
      </c>
      <c r="C608" s="7">
        <v>1.4874666666666601</v>
      </c>
      <c r="D608">
        <v>0</v>
      </c>
      <c r="E608" s="3">
        <f t="shared" si="12"/>
        <v>1.4871657456181432E-4</v>
      </c>
    </row>
    <row r="609" spans="1:5" hidden="1" x14ac:dyDescent="0.25">
      <c r="A609">
        <v>20882</v>
      </c>
      <c r="B609">
        <v>7</v>
      </c>
      <c r="C609" s="7">
        <v>1.48068333333333</v>
      </c>
      <c r="D609">
        <v>12</v>
      </c>
      <c r="E609" s="3">
        <f t="shared" si="12"/>
        <v>1.9998912165069473E-4</v>
      </c>
    </row>
    <row r="610" spans="1:5" hidden="1" x14ac:dyDescent="0.25">
      <c r="A610">
        <v>20771</v>
      </c>
      <c r="B610">
        <v>3</v>
      </c>
      <c r="C610" s="7">
        <v>1.4791733333333299</v>
      </c>
      <c r="D610">
        <v>12</v>
      </c>
      <c r="E610" s="3">
        <f t="shared" si="12"/>
        <v>6.6917654013917086E-4</v>
      </c>
    </row>
    <row r="611" spans="1:5" hidden="1" x14ac:dyDescent="0.25">
      <c r="A611">
        <v>21006</v>
      </c>
      <c r="B611">
        <v>6</v>
      </c>
      <c r="C611" s="7">
        <v>1.4528399999999999</v>
      </c>
      <c r="D611">
        <v>0</v>
      </c>
      <c r="E611" s="3">
        <f t="shared" si="12"/>
        <v>2.7812535807837467E-4</v>
      </c>
    </row>
    <row r="612" spans="1:5" hidden="1" x14ac:dyDescent="0.25">
      <c r="A612">
        <v>20828</v>
      </c>
      <c r="B612">
        <v>4</v>
      </c>
      <c r="C612" s="7">
        <v>1.4500599999999999</v>
      </c>
      <c r="D612">
        <v>12</v>
      </c>
      <c r="E612" s="3">
        <f t="shared" si="12"/>
        <v>3.8841265178413424E-4</v>
      </c>
    </row>
    <row r="613" spans="1:5" hidden="1" x14ac:dyDescent="0.25">
      <c r="A613">
        <v>20818</v>
      </c>
      <c r="B613">
        <v>3</v>
      </c>
      <c r="C613" s="7">
        <v>1.4384566666666601</v>
      </c>
      <c r="D613">
        <v>12</v>
      </c>
      <c r="E613" s="3">
        <f t="shared" si="12"/>
        <v>6.5075636076465399E-4</v>
      </c>
    </row>
    <row r="614" spans="1:5" hidden="1" x14ac:dyDescent="0.25">
      <c r="A614">
        <v>20781</v>
      </c>
      <c r="B614">
        <v>2</v>
      </c>
      <c r="C614" s="7">
        <v>1.4303566666666601</v>
      </c>
      <c r="D614">
        <v>12</v>
      </c>
      <c r="E614" s="3">
        <f t="shared" si="12"/>
        <v>1.4300672992223118E-4</v>
      </c>
    </row>
    <row r="615" spans="1:5" hidden="1" x14ac:dyDescent="0.25">
      <c r="A615">
        <v>21044</v>
      </c>
      <c r="B615">
        <v>6</v>
      </c>
      <c r="C615" s="7">
        <v>1.4220266666666601</v>
      </c>
      <c r="D615">
        <v>0</v>
      </c>
      <c r="E615" s="3">
        <f t="shared" si="12"/>
        <v>2.7222658783049915E-4</v>
      </c>
    </row>
    <row r="616" spans="1:5" hidden="1" x14ac:dyDescent="0.25">
      <c r="A616">
        <v>21119</v>
      </c>
      <c r="B616">
        <v>6</v>
      </c>
      <c r="C616" s="7">
        <v>1.41242333333333</v>
      </c>
      <c r="D616">
        <v>0</v>
      </c>
      <c r="E616" s="3">
        <f t="shared" si="12"/>
        <v>2.7038816754878993E-4</v>
      </c>
    </row>
    <row r="617" spans="1:5" hidden="1" x14ac:dyDescent="0.25">
      <c r="A617">
        <v>20830</v>
      </c>
      <c r="B617">
        <v>4</v>
      </c>
      <c r="C617" s="7">
        <v>1.4071899999999999</v>
      </c>
      <c r="D617">
        <v>12</v>
      </c>
      <c r="E617" s="3">
        <f t="shared" si="12"/>
        <v>3.7692950599569388E-4</v>
      </c>
    </row>
    <row r="618" spans="1:5" hidden="1" x14ac:dyDescent="0.25">
      <c r="A618">
        <v>20951</v>
      </c>
      <c r="B618">
        <v>7</v>
      </c>
      <c r="C618" s="7">
        <v>1.40632</v>
      </c>
      <c r="D618">
        <v>12</v>
      </c>
      <c r="E618" s="3">
        <f t="shared" si="12"/>
        <v>1.8994520653288838E-4</v>
      </c>
    </row>
    <row r="619" spans="1:5" hidden="1" x14ac:dyDescent="0.25">
      <c r="A619">
        <v>20840</v>
      </c>
      <c r="B619">
        <v>3</v>
      </c>
      <c r="C619" s="7">
        <v>1.4043699999999999</v>
      </c>
      <c r="D619">
        <v>12</v>
      </c>
      <c r="E619" s="3">
        <f t="shared" si="12"/>
        <v>6.3533558677498884E-4</v>
      </c>
    </row>
    <row r="620" spans="1:5" hidden="1" x14ac:dyDescent="0.25">
      <c r="A620">
        <v>21111</v>
      </c>
      <c r="B620">
        <v>6</v>
      </c>
      <c r="C620" s="7">
        <v>1.3955500000000001</v>
      </c>
      <c r="D620">
        <v>0</v>
      </c>
      <c r="E620" s="3">
        <f t="shared" si="12"/>
        <v>2.6715801014996548E-4</v>
      </c>
    </row>
    <row r="621" spans="1:5" hidden="1" x14ac:dyDescent="0.25">
      <c r="A621">
        <v>20847</v>
      </c>
      <c r="B621">
        <v>2</v>
      </c>
      <c r="C621" s="7">
        <v>1.36863333333333</v>
      </c>
      <c r="D621">
        <v>12</v>
      </c>
      <c r="E621" s="3">
        <f t="shared" si="12"/>
        <v>1.3683564527907732E-4</v>
      </c>
    </row>
    <row r="622" spans="1:5" hidden="1" x14ac:dyDescent="0.25">
      <c r="A622">
        <v>20885</v>
      </c>
      <c r="B622">
        <v>4</v>
      </c>
      <c r="C622" s="7">
        <v>1.3642066666666599</v>
      </c>
      <c r="D622">
        <v>12</v>
      </c>
      <c r="E622" s="3">
        <f t="shared" si="12"/>
        <v>3.6541600277339688E-4</v>
      </c>
    </row>
    <row r="623" spans="1:5" hidden="1" x14ac:dyDescent="0.25">
      <c r="A623">
        <v>20870</v>
      </c>
      <c r="B623">
        <v>7</v>
      </c>
      <c r="C623" s="7">
        <v>1.36032333333333</v>
      </c>
      <c r="D623">
        <v>12</v>
      </c>
      <c r="E623" s="3">
        <f t="shared" si="12"/>
        <v>1.8373264726485191E-4</v>
      </c>
    </row>
    <row r="624" spans="1:5" hidden="1" x14ac:dyDescent="0.25">
      <c r="A624">
        <v>20843</v>
      </c>
      <c r="B624">
        <v>2</v>
      </c>
      <c r="C624" s="7">
        <v>1.3462099999999999</v>
      </c>
      <c r="D624">
        <v>12</v>
      </c>
      <c r="E624" s="3">
        <f t="shared" si="12"/>
        <v>1.3459376557963939E-4</v>
      </c>
    </row>
    <row r="625" spans="1:5" hidden="1" x14ac:dyDescent="0.25">
      <c r="A625">
        <v>20864</v>
      </c>
      <c r="B625">
        <v>1</v>
      </c>
      <c r="C625" s="7">
        <v>1.3158766666666599</v>
      </c>
      <c r="D625">
        <v>12</v>
      </c>
      <c r="E625" s="3">
        <f t="shared" si="12"/>
        <v>8.0043223985737421E-4</v>
      </c>
    </row>
    <row r="626" spans="1:5" hidden="1" x14ac:dyDescent="0.25">
      <c r="A626">
        <v>21109</v>
      </c>
      <c r="B626">
        <v>6</v>
      </c>
      <c r="C626" s="7">
        <v>1.2985933333333299</v>
      </c>
      <c r="D626">
        <v>0</v>
      </c>
      <c r="E626" s="3">
        <f t="shared" si="12"/>
        <v>2.4859704842344828E-4</v>
      </c>
    </row>
    <row r="627" spans="1:5" hidden="1" x14ac:dyDescent="0.25">
      <c r="A627">
        <v>21079</v>
      </c>
      <c r="B627">
        <v>6</v>
      </c>
      <c r="C627" s="7">
        <v>1.2771266666666601</v>
      </c>
      <c r="D627">
        <v>0</v>
      </c>
      <c r="E627" s="3">
        <f t="shared" si="12"/>
        <v>2.4448756330917783E-4</v>
      </c>
    </row>
    <row r="628" spans="1:5" hidden="1" x14ac:dyDescent="0.25">
      <c r="A628">
        <v>21042</v>
      </c>
      <c r="B628">
        <v>6</v>
      </c>
      <c r="C628" s="7">
        <v>1.2667200000000001</v>
      </c>
      <c r="D628">
        <v>0</v>
      </c>
      <c r="E628" s="3">
        <f t="shared" si="12"/>
        <v>2.4249535639508742E-4</v>
      </c>
    </row>
    <row r="629" spans="1:5" hidden="1" x14ac:dyDescent="0.25">
      <c r="A629">
        <v>20684</v>
      </c>
      <c r="B629">
        <v>2</v>
      </c>
      <c r="C629" s="7">
        <v>1.25562333333333</v>
      </c>
      <c r="D629">
        <v>12</v>
      </c>
      <c r="E629" s="3">
        <f t="shared" si="12"/>
        <v>1.255369315210789E-4</v>
      </c>
    </row>
    <row r="630" spans="1:5" hidden="1" x14ac:dyDescent="0.25">
      <c r="A630">
        <v>20914</v>
      </c>
      <c r="B630">
        <v>2</v>
      </c>
      <c r="C630" s="7">
        <v>1.2484999999999999</v>
      </c>
      <c r="D630">
        <v>12</v>
      </c>
      <c r="E630" s="3">
        <f t="shared" si="12"/>
        <v>1.2482474229591207E-4</v>
      </c>
    </row>
    <row r="631" spans="1:5" hidden="1" x14ac:dyDescent="0.25">
      <c r="A631">
        <v>21074</v>
      </c>
      <c r="B631">
        <v>2</v>
      </c>
      <c r="C631" s="7">
        <v>1.2459233333333299</v>
      </c>
      <c r="D631">
        <v>0</v>
      </c>
      <c r="E631" s="3">
        <f t="shared" si="12"/>
        <v>1.2456712775634493E-4</v>
      </c>
    </row>
    <row r="632" spans="1:5" hidden="1" x14ac:dyDescent="0.25">
      <c r="A632">
        <v>20953</v>
      </c>
      <c r="B632">
        <v>2</v>
      </c>
      <c r="C632" s="7">
        <v>1.24179666666666</v>
      </c>
      <c r="D632">
        <v>0</v>
      </c>
      <c r="E632" s="3">
        <f t="shared" si="12"/>
        <v>1.2415454457395951E-4</v>
      </c>
    </row>
    <row r="633" spans="1:5" hidden="1" x14ac:dyDescent="0.25">
      <c r="A633">
        <v>20422</v>
      </c>
      <c r="B633">
        <v>2</v>
      </c>
      <c r="C633" s="7">
        <v>1.21376</v>
      </c>
      <c r="D633">
        <v>12</v>
      </c>
      <c r="E633" s="3">
        <f t="shared" si="12"/>
        <v>1.2135144510139065E-4</v>
      </c>
    </row>
    <row r="634" spans="1:5" hidden="1" x14ac:dyDescent="0.25">
      <c r="A634">
        <v>20892</v>
      </c>
      <c r="B634">
        <v>2</v>
      </c>
      <c r="C634" s="7">
        <v>1.2118866666666599</v>
      </c>
      <c r="D634">
        <v>12</v>
      </c>
      <c r="E634" s="3">
        <f t="shared" si="12"/>
        <v>1.2116414966641387E-4</v>
      </c>
    </row>
    <row r="635" spans="1:5" hidden="1" x14ac:dyDescent="0.25">
      <c r="A635">
        <v>20997</v>
      </c>
      <c r="B635">
        <v>3</v>
      </c>
      <c r="C635" s="7">
        <v>1.1966933333333301</v>
      </c>
      <c r="D635">
        <v>4</v>
      </c>
      <c r="E635" s="3">
        <f t="shared" si="12"/>
        <v>5.4138286998657668E-4</v>
      </c>
    </row>
    <row r="636" spans="1:5" hidden="1" x14ac:dyDescent="0.25">
      <c r="A636">
        <v>20894</v>
      </c>
      <c r="B636">
        <v>6</v>
      </c>
      <c r="C636" s="7">
        <v>1.1877899999999999</v>
      </c>
      <c r="D636">
        <v>12</v>
      </c>
      <c r="E636" s="3">
        <f t="shared" si="12"/>
        <v>2.2738534117446702E-4</v>
      </c>
    </row>
    <row r="637" spans="1:5" hidden="1" x14ac:dyDescent="0.25">
      <c r="A637">
        <v>21033</v>
      </c>
      <c r="B637">
        <v>6</v>
      </c>
      <c r="C637" s="7">
        <v>1.1877233333333299</v>
      </c>
      <c r="D637">
        <v>0</v>
      </c>
      <c r="E637" s="3">
        <f t="shared" si="12"/>
        <v>2.273725787983351E-4</v>
      </c>
    </row>
    <row r="638" spans="1:5" hidden="1" x14ac:dyDescent="0.25">
      <c r="A638">
        <v>20398</v>
      </c>
      <c r="B638">
        <v>2</v>
      </c>
      <c r="C638" s="7">
        <v>1.1694533333333299</v>
      </c>
      <c r="D638">
        <v>12</v>
      </c>
      <c r="E638" s="3">
        <f t="shared" si="12"/>
        <v>1.169216747780763E-4</v>
      </c>
    </row>
    <row r="639" spans="1:5" hidden="1" x14ac:dyDescent="0.25">
      <c r="A639">
        <v>20416</v>
      </c>
      <c r="B639">
        <v>2</v>
      </c>
      <c r="C639" s="7">
        <v>1.1592833333333299</v>
      </c>
      <c r="D639">
        <v>12</v>
      </c>
      <c r="E639" s="3">
        <f t="shared" si="12"/>
        <v>1.1590488052164905E-4</v>
      </c>
    </row>
    <row r="640" spans="1:5" hidden="1" x14ac:dyDescent="0.25">
      <c r="A640">
        <v>20949</v>
      </c>
      <c r="B640">
        <v>2</v>
      </c>
      <c r="C640" s="7">
        <v>1.1546033333333301</v>
      </c>
      <c r="D640">
        <v>12</v>
      </c>
      <c r="E640" s="3">
        <f t="shared" si="12"/>
        <v>1.1543697520010732E-4</v>
      </c>
    </row>
    <row r="641" spans="1:5" hidden="1" x14ac:dyDescent="0.25">
      <c r="A641">
        <v>20803</v>
      </c>
      <c r="B641">
        <v>4</v>
      </c>
      <c r="C641" s="7">
        <v>1.1458999999999999</v>
      </c>
      <c r="D641">
        <v>12</v>
      </c>
      <c r="E641" s="3">
        <f t="shared" si="12"/>
        <v>3.0694044224338261E-4</v>
      </c>
    </row>
    <row r="642" spans="1:5" hidden="1" x14ac:dyDescent="0.25">
      <c r="A642">
        <v>20449</v>
      </c>
      <c r="B642">
        <v>2</v>
      </c>
      <c r="C642" s="7">
        <v>1.13391</v>
      </c>
      <c r="D642">
        <v>12</v>
      </c>
      <c r="E642" s="3">
        <f t="shared" si="12"/>
        <v>1.1336806050200853E-4</v>
      </c>
    </row>
    <row r="643" spans="1:5" hidden="1" x14ac:dyDescent="0.25">
      <c r="A643">
        <v>21087</v>
      </c>
      <c r="B643">
        <v>6</v>
      </c>
      <c r="C643" s="7">
        <v>1.1099066666666599</v>
      </c>
      <c r="D643">
        <v>0</v>
      </c>
      <c r="E643" s="3">
        <f t="shared" ref="E643:E706" si="13">$C643/SUMIF($B$2:$B$781,B643,$C$2:$C$781)</f>
        <v>2.1247569525910634E-4</v>
      </c>
    </row>
    <row r="644" spans="1:5" hidden="1" x14ac:dyDescent="0.25">
      <c r="A644">
        <v>20824</v>
      </c>
      <c r="B644">
        <v>2</v>
      </c>
      <c r="C644" s="7">
        <v>1.10104333333333</v>
      </c>
      <c r="D644">
        <v>9</v>
      </c>
      <c r="E644" s="3">
        <f t="shared" si="13"/>
        <v>1.100820587424629E-4</v>
      </c>
    </row>
    <row r="645" spans="1:5" hidden="1" x14ac:dyDescent="0.25">
      <c r="A645">
        <v>20846</v>
      </c>
      <c r="B645">
        <v>2</v>
      </c>
      <c r="C645" s="7">
        <v>1.0757766666666599</v>
      </c>
      <c r="D645">
        <v>12</v>
      </c>
      <c r="E645" s="3">
        <f t="shared" si="13"/>
        <v>1.0755590323157479E-4</v>
      </c>
    </row>
    <row r="646" spans="1:5" hidden="1" x14ac:dyDescent="0.25">
      <c r="A646">
        <v>20931</v>
      </c>
      <c r="B646">
        <v>2</v>
      </c>
      <c r="C646" s="7">
        <v>1.07450333333333</v>
      </c>
      <c r="D646">
        <v>12</v>
      </c>
      <c r="E646" s="3">
        <f t="shared" si="13"/>
        <v>1.0742859565833514E-4</v>
      </c>
    </row>
    <row r="647" spans="1:5" hidden="1" x14ac:dyDescent="0.25">
      <c r="A647">
        <v>20852</v>
      </c>
      <c r="B647">
        <v>2</v>
      </c>
      <c r="C647" s="7">
        <v>1.07162</v>
      </c>
      <c r="D647">
        <v>12</v>
      </c>
      <c r="E647" s="3">
        <f t="shared" si="13"/>
        <v>1.0714032065610357E-4</v>
      </c>
    </row>
    <row r="648" spans="1:5" hidden="1" x14ac:dyDescent="0.25">
      <c r="A648">
        <v>20919</v>
      </c>
      <c r="B648">
        <v>6</v>
      </c>
      <c r="C648" s="7">
        <v>1.0568866666666601</v>
      </c>
      <c r="D648">
        <v>12</v>
      </c>
      <c r="E648" s="3">
        <f t="shared" si="13"/>
        <v>2.0232577752190515E-4</v>
      </c>
    </row>
    <row r="649" spans="1:5" hidden="1" x14ac:dyDescent="0.25">
      <c r="A649">
        <v>20879</v>
      </c>
      <c r="B649">
        <v>6</v>
      </c>
      <c r="C649" s="7">
        <v>1.0563133333333301</v>
      </c>
      <c r="D649">
        <v>12</v>
      </c>
      <c r="E649" s="3">
        <f t="shared" si="13"/>
        <v>2.0221602108717683E-4</v>
      </c>
    </row>
    <row r="650" spans="1:5" hidden="1" x14ac:dyDescent="0.25">
      <c r="A650">
        <v>20957</v>
      </c>
      <c r="B650">
        <v>7</v>
      </c>
      <c r="C650" s="7">
        <v>1.03880333333333</v>
      </c>
      <c r="D650">
        <v>12</v>
      </c>
      <c r="E650" s="3">
        <f t="shared" si="13"/>
        <v>1.4030641226538219E-4</v>
      </c>
    </row>
    <row r="651" spans="1:5" hidden="1" x14ac:dyDescent="0.25">
      <c r="A651">
        <v>21092</v>
      </c>
      <c r="B651">
        <v>1</v>
      </c>
      <c r="C651" s="7">
        <v>1.03338</v>
      </c>
      <c r="D651">
        <v>0</v>
      </c>
      <c r="E651" s="3">
        <f t="shared" si="13"/>
        <v>6.2859285294504616E-4</v>
      </c>
    </row>
    <row r="652" spans="1:5" hidden="1" x14ac:dyDescent="0.25">
      <c r="A652">
        <v>20990</v>
      </c>
      <c r="B652">
        <v>2</v>
      </c>
      <c r="C652" s="7">
        <v>1.0299100000000001</v>
      </c>
      <c r="D652">
        <v>3</v>
      </c>
      <c r="E652" s="3">
        <f t="shared" si="13"/>
        <v>1.0297016446774755E-4</v>
      </c>
    </row>
    <row r="653" spans="1:5" hidden="1" x14ac:dyDescent="0.25">
      <c r="A653">
        <v>20812</v>
      </c>
      <c r="B653">
        <v>2</v>
      </c>
      <c r="C653" s="7">
        <v>1.0177133333333299</v>
      </c>
      <c r="D653">
        <v>12</v>
      </c>
      <c r="E653" s="3">
        <f t="shared" si="13"/>
        <v>1.0175074454501126E-4</v>
      </c>
    </row>
    <row r="654" spans="1:5" hidden="1" x14ac:dyDescent="0.25">
      <c r="A654">
        <v>20877</v>
      </c>
      <c r="B654">
        <v>2</v>
      </c>
      <c r="C654" s="7">
        <v>1.01586</v>
      </c>
      <c r="D654">
        <v>12</v>
      </c>
      <c r="E654" s="3">
        <f t="shared" si="13"/>
        <v>1.015654487054267E-4</v>
      </c>
    </row>
    <row r="655" spans="1:5" hidden="1" x14ac:dyDescent="0.25">
      <c r="A655">
        <v>20961</v>
      </c>
      <c r="B655">
        <v>7</v>
      </c>
      <c r="C655" s="7">
        <v>0.98836999999999997</v>
      </c>
      <c r="D655">
        <v>12</v>
      </c>
      <c r="E655" s="3">
        <f t="shared" si="13"/>
        <v>1.3349461273459161E-4</v>
      </c>
    </row>
    <row r="656" spans="1:5" hidden="1" x14ac:dyDescent="0.25">
      <c r="A656">
        <v>20429</v>
      </c>
      <c r="B656">
        <v>2</v>
      </c>
      <c r="C656" s="7">
        <v>0.97331999999999896</v>
      </c>
      <c r="D656">
        <v>12</v>
      </c>
      <c r="E656" s="3">
        <f t="shared" si="13"/>
        <v>9.731230930833561E-5</v>
      </c>
    </row>
    <row r="657" spans="1:5" hidden="1" x14ac:dyDescent="0.25">
      <c r="A657">
        <v>21112</v>
      </c>
      <c r="B657">
        <v>6</v>
      </c>
      <c r="C657" s="7">
        <v>0.96153666666666604</v>
      </c>
      <c r="D657">
        <v>0</v>
      </c>
      <c r="E657" s="3">
        <f t="shared" si="13"/>
        <v>1.8407238906015342E-4</v>
      </c>
    </row>
    <row r="658" spans="1:5" hidden="1" x14ac:dyDescent="0.25">
      <c r="A658">
        <v>20490</v>
      </c>
      <c r="B658">
        <v>2</v>
      </c>
      <c r="C658" s="7">
        <v>0.95145333333333304</v>
      </c>
      <c r="D658">
        <v>12</v>
      </c>
      <c r="E658" s="3">
        <f t="shared" si="13"/>
        <v>9.5126085013952594E-5</v>
      </c>
    </row>
    <row r="659" spans="1:5" hidden="1" x14ac:dyDescent="0.25">
      <c r="A659">
        <v>20922</v>
      </c>
      <c r="B659">
        <v>2</v>
      </c>
      <c r="C659" s="7">
        <v>0.94568666666666601</v>
      </c>
      <c r="D659">
        <v>12</v>
      </c>
      <c r="E659" s="3">
        <f t="shared" si="13"/>
        <v>9.454953500948873E-5</v>
      </c>
    </row>
    <row r="660" spans="1:5" hidden="1" x14ac:dyDescent="0.25">
      <c r="A660">
        <v>21040</v>
      </c>
      <c r="B660">
        <v>7</v>
      </c>
      <c r="C660" s="7">
        <v>0.94429666666666601</v>
      </c>
      <c r="D660">
        <v>8</v>
      </c>
      <c r="E660" s="3">
        <f t="shared" si="13"/>
        <v>1.275418292979677E-4</v>
      </c>
    </row>
    <row r="661" spans="1:5" hidden="1" x14ac:dyDescent="0.25">
      <c r="A661">
        <v>20986</v>
      </c>
      <c r="B661">
        <v>2</v>
      </c>
      <c r="C661" s="7">
        <v>0.93350999999999995</v>
      </c>
      <c r="D661">
        <v>12</v>
      </c>
      <c r="E661" s="3">
        <f t="shared" si="13"/>
        <v>9.3332114682144064E-5</v>
      </c>
    </row>
    <row r="662" spans="1:5" hidden="1" x14ac:dyDescent="0.25">
      <c r="A662">
        <v>20937</v>
      </c>
      <c r="B662">
        <v>1</v>
      </c>
      <c r="C662" s="7">
        <v>0.93252333333333304</v>
      </c>
      <c r="D662">
        <v>12</v>
      </c>
      <c r="E662" s="3">
        <f t="shared" si="13"/>
        <v>5.6724293342025594E-4</v>
      </c>
    </row>
    <row r="663" spans="1:5" hidden="1" x14ac:dyDescent="0.25">
      <c r="A663">
        <v>21146</v>
      </c>
      <c r="B663">
        <v>6</v>
      </c>
      <c r="C663" s="7">
        <v>0.92845999999999995</v>
      </c>
      <c r="D663">
        <v>0</v>
      </c>
      <c r="E663" s="3">
        <f t="shared" si="13"/>
        <v>1.7774033614262257E-4</v>
      </c>
    </row>
    <row r="664" spans="1:5" hidden="1" x14ac:dyDescent="0.25">
      <c r="A664">
        <v>21073</v>
      </c>
      <c r="B664">
        <v>6</v>
      </c>
      <c r="C664" s="7">
        <v>0.92745666666666604</v>
      </c>
      <c r="D664">
        <v>0</v>
      </c>
      <c r="E664" s="3">
        <f t="shared" si="13"/>
        <v>1.775482623818468E-4</v>
      </c>
    </row>
    <row r="665" spans="1:5" hidden="1" x14ac:dyDescent="0.25">
      <c r="A665">
        <v>20886</v>
      </c>
      <c r="B665">
        <v>2</v>
      </c>
      <c r="C665" s="7">
        <v>0.92300666666666598</v>
      </c>
      <c r="D665">
        <v>0</v>
      </c>
      <c r="E665" s="3">
        <f t="shared" si="13"/>
        <v>9.2281993835863357E-5</v>
      </c>
    </row>
    <row r="666" spans="1:5" hidden="1" x14ac:dyDescent="0.25">
      <c r="A666">
        <v>21129</v>
      </c>
      <c r="B666">
        <v>6</v>
      </c>
      <c r="C666" s="7">
        <v>0.92024999999999901</v>
      </c>
      <c r="D666">
        <v>0</v>
      </c>
      <c r="E666" s="3">
        <f t="shared" si="13"/>
        <v>1.7616864952205613E-4</v>
      </c>
    </row>
    <row r="667" spans="1:5" hidden="1" x14ac:dyDescent="0.25">
      <c r="A667">
        <v>20800</v>
      </c>
      <c r="B667">
        <v>2</v>
      </c>
      <c r="C667" s="7">
        <v>0.90458333333333296</v>
      </c>
      <c r="D667">
        <v>12</v>
      </c>
      <c r="E667" s="3">
        <f t="shared" si="13"/>
        <v>9.044003321466593E-5</v>
      </c>
    </row>
    <row r="668" spans="1:5" hidden="1" x14ac:dyDescent="0.25">
      <c r="A668">
        <v>20670</v>
      </c>
      <c r="B668">
        <v>2</v>
      </c>
      <c r="C668" s="7">
        <v>0.90273000000000003</v>
      </c>
      <c r="D668">
        <v>12</v>
      </c>
      <c r="E668" s="3">
        <f t="shared" si="13"/>
        <v>9.0254737375081059E-5</v>
      </c>
    </row>
    <row r="669" spans="1:5" hidden="1" x14ac:dyDescent="0.25">
      <c r="A669">
        <v>21034</v>
      </c>
      <c r="B669">
        <v>2</v>
      </c>
      <c r="C669" s="7">
        <v>0.90095000000000003</v>
      </c>
      <c r="D669">
        <v>8</v>
      </c>
      <c r="E669" s="3">
        <f t="shared" si="13"/>
        <v>9.0076773385263907E-5</v>
      </c>
    </row>
    <row r="670" spans="1:5" hidden="1" x14ac:dyDescent="0.25">
      <c r="A670">
        <v>21140</v>
      </c>
      <c r="B670">
        <v>6</v>
      </c>
      <c r="C670" s="7">
        <v>0.88344666666666605</v>
      </c>
      <c r="D670">
        <v>0</v>
      </c>
      <c r="E670" s="3">
        <f t="shared" si="13"/>
        <v>1.6912317977878707E-4</v>
      </c>
    </row>
    <row r="671" spans="1:5" hidden="1" x14ac:dyDescent="0.25">
      <c r="A671">
        <v>21022</v>
      </c>
      <c r="B671">
        <v>2</v>
      </c>
      <c r="C671" s="7">
        <v>0.86820666666666602</v>
      </c>
      <c r="D671">
        <v>3</v>
      </c>
      <c r="E671" s="3">
        <f t="shared" si="13"/>
        <v>8.680310246396429E-5</v>
      </c>
    </row>
    <row r="672" spans="1:5" hidden="1" x14ac:dyDescent="0.25">
      <c r="A672">
        <v>20418</v>
      </c>
      <c r="B672">
        <v>2</v>
      </c>
      <c r="C672" s="7">
        <v>0.86314666666666595</v>
      </c>
      <c r="D672">
        <v>12</v>
      </c>
      <c r="E672" s="3">
        <f t="shared" si="13"/>
        <v>8.6297204829989657E-5</v>
      </c>
    </row>
    <row r="673" spans="1:5" hidden="1" x14ac:dyDescent="0.25">
      <c r="A673">
        <v>20802</v>
      </c>
      <c r="B673">
        <v>2</v>
      </c>
      <c r="C673" s="7">
        <v>0.86173666666666604</v>
      </c>
      <c r="D673">
        <v>12</v>
      </c>
      <c r="E673" s="3">
        <f t="shared" si="13"/>
        <v>8.6156233354909784E-5</v>
      </c>
    </row>
    <row r="674" spans="1:5" hidden="1" x14ac:dyDescent="0.25">
      <c r="A674">
        <v>20901</v>
      </c>
      <c r="B674">
        <v>6</v>
      </c>
      <c r="C674" s="7">
        <v>0.85806666666666598</v>
      </c>
      <c r="D674">
        <v>12</v>
      </c>
      <c r="E674" s="3">
        <f t="shared" si="13"/>
        <v>1.6426454318561152E-4</v>
      </c>
    </row>
    <row r="675" spans="1:5" hidden="1" x14ac:dyDescent="0.25">
      <c r="A675">
        <v>21056</v>
      </c>
      <c r="B675">
        <v>4</v>
      </c>
      <c r="C675" s="7">
        <v>0.84559333333333297</v>
      </c>
      <c r="D675">
        <v>3</v>
      </c>
      <c r="E675" s="3">
        <f t="shared" si="13"/>
        <v>2.2650038545369517E-4</v>
      </c>
    </row>
    <row r="676" spans="1:5" hidden="1" x14ac:dyDescent="0.25">
      <c r="A676">
        <v>20941</v>
      </c>
      <c r="B676">
        <v>7</v>
      </c>
      <c r="C676" s="7">
        <v>0.84016666666666595</v>
      </c>
      <c r="D676">
        <v>12</v>
      </c>
      <c r="E676" s="3">
        <f t="shared" si="13"/>
        <v>1.134774667373345E-4</v>
      </c>
    </row>
    <row r="677" spans="1:5" hidden="1" x14ac:dyDescent="0.25">
      <c r="A677">
        <v>20883</v>
      </c>
      <c r="B677">
        <v>2</v>
      </c>
      <c r="C677" s="7">
        <v>0.83936333333333302</v>
      </c>
      <c r="D677">
        <v>12</v>
      </c>
      <c r="E677" s="3">
        <f t="shared" si="13"/>
        <v>8.3919352643949572E-5</v>
      </c>
    </row>
    <row r="678" spans="1:5" hidden="1" x14ac:dyDescent="0.25">
      <c r="A678">
        <v>21014</v>
      </c>
      <c r="B678">
        <v>4</v>
      </c>
      <c r="C678" s="7">
        <v>0.83613333333333295</v>
      </c>
      <c r="D678">
        <v>12</v>
      </c>
      <c r="E678" s="3">
        <f t="shared" si="13"/>
        <v>2.2396643259251845E-4</v>
      </c>
    </row>
    <row r="679" spans="1:5" hidden="1" x14ac:dyDescent="0.25">
      <c r="A679">
        <v>20509</v>
      </c>
      <c r="B679">
        <v>2</v>
      </c>
      <c r="C679" s="7">
        <v>0.80550999999999995</v>
      </c>
      <c r="D679">
        <v>12</v>
      </c>
      <c r="E679" s="3">
        <f t="shared" si="13"/>
        <v>8.0534704178438228E-5</v>
      </c>
    </row>
    <row r="680" spans="1:5" hidden="1" x14ac:dyDescent="0.25">
      <c r="A680">
        <v>21037</v>
      </c>
      <c r="B680">
        <v>7</v>
      </c>
      <c r="C680" s="7">
        <v>0.80440333333333303</v>
      </c>
      <c r="D680">
        <v>3</v>
      </c>
      <c r="E680" s="3">
        <f t="shared" si="13"/>
        <v>1.086470769709197E-4</v>
      </c>
    </row>
    <row r="681" spans="1:5" hidden="1" x14ac:dyDescent="0.25">
      <c r="A681">
        <v>21001</v>
      </c>
      <c r="B681">
        <v>2</v>
      </c>
      <c r="C681" s="7">
        <v>0.79785666666666599</v>
      </c>
      <c r="D681">
        <v>3</v>
      </c>
      <c r="E681" s="3">
        <f t="shared" si="13"/>
        <v>7.9769525675404086E-5</v>
      </c>
    </row>
    <row r="682" spans="1:5" hidden="1" x14ac:dyDescent="0.25">
      <c r="A682">
        <v>21084</v>
      </c>
      <c r="B682">
        <v>6</v>
      </c>
      <c r="C682" s="7">
        <v>0.77862666666666602</v>
      </c>
      <c r="D682">
        <v>5</v>
      </c>
      <c r="E682" s="3">
        <f t="shared" si="13"/>
        <v>1.4905689578758693E-4</v>
      </c>
    </row>
    <row r="683" spans="1:5" hidden="1" x14ac:dyDescent="0.25">
      <c r="A683">
        <v>21057</v>
      </c>
      <c r="B683">
        <v>6</v>
      </c>
      <c r="C683" s="7">
        <v>0.77600999999999998</v>
      </c>
      <c r="D683">
        <v>12</v>
      </c>
      <c r="E683" s="3">
        <f t="shared" si="13"/>
        <v>1.4855597252443458E-4</v>
      </c>
    </row>
    <row r="684" spans="1:5" hidden="1" x14ac:dyDescent="0.25">
      <c r="A684">
        <v>20685</v>
      </c>
      <c r="B684">
        <v>2</v>
      </c>
      <c r="C684" s="7">
        <v>0.77433666666666601</v>
      </c>
      <c r="D684">
        <v>12</v>
      </c>
      <c r="E684" s="3">
        <f t="shared" si="13"/>
        <v>7.741800149534814E-5</v>
      </c>
    </row>
    <row r="685" spans="1:5" hidden="1" x14ac:dyDescent="0.25">
      <c r="A685">
        <v>20925</v>
      </c>
      <c r="B685">
        <v>2</v>
      </c>
      <c r="C685" s="7">
        <v>0.768743333333333</v>
      </c>
      <c r="D685">
        <v>12</v>
      </c>
      <c r="E685" s="3">
        <f t="shared" si="13"/>
        <v>7.6858781317608107E-5</v>
      </c>
    </row>
    <row r="686" spans="1:5" hidden="1" x14ac:dyDescent="0.25">
      <c r="A686">
        <v>21086</v>
      </c>
      <c r="B686">
        <v>6</v>
      </c>
      <c r="C686" s="7">
        <v>0.76264999999999905</v>
      </c>
      <c r="D686">
        <v>0</v>
      </c>
      <c r="E686" s="3">
        <f t="shared" si="13"/>
        <v>1.4599839234772735E-4</v>
      </c>
    </row>
    <row r="687" spans="1:5" x14ac:dyDescent="0.25">
      <c r="A687">
        <v>21008</v>
      </c>
      <c r="B687">
        <v>0</v>
      </c>
      <c r="C687" s="7">
        <v>0.75785666666666596</v>
      </c>
      <c r="D687">
        <v>12</v>
      </c>
      <c r="E687" s="3">
        <f t="shared" si="13"/>
        <v>1.8221516162993041E-3</v>
      </c>
    </row>
    <row r="688" spans="1:5" hidden="1" x14ac:dyDescent="0.25">
      <c r="A688">
        <v>20976</v>
      </c>
      <c r="B688">
        <v>7</v>
      </c>
      <c r="C688" s="7">
        <v>0.74724666666666595</v>
      </c>
      <c r="D688">
        <v>12</v>
      </c>
      <c r="E688" s="3">
        <f t="shared" si="13"/>
        <v>1.0092718757538275E-4</v>
      </c>
    </row>
    <row r="689" spans="1:5" hidden="1" x14ac:dyDescent="0.25">
      <c r="A689">
        <v>20906</v>
      </c>
      <c r="B689">
        <v>2</v>
      </c>
      <c r="C689" s="7">
        <v>0.74699333333333295</v>
      </c>
      <c r="D689">
        <v>12</v>
      </c>
      <c r="E689" s="3">
        <f t="shared" si="13"/>
        <v>7.468422132967371E-5</v>
      </c>
    </row>
    <row r="690" spans="1:5" hidden="1" x14ac:dyDescent="0.25">
      <c r="A690">
        <v>21154</v>
      </c>
      <c r="B690">
        <v>6</v>
      </c>
      <c r="C690" s="7">
        <v>0.71942333333333297</v>
      </c>
      <c r="D690">
        <v>0</v>
      </c>
      <c r="E690" s="3">
        <f t="shared" si="13"/>
        <v>1.3772326766421021E-4</v>
      </c>
    </row>
    <row r="691" spans="1:5" hidden="1" x14ac:dyDescent="0.25">
      <c r="A691">
        <v>21144</v>
      </c>
      <c r="B691">
        <v>6</v>
      </c>
      <c r="C691" s="7">
        <v>0.71747333333333296</v>
      </c>
      <c r="D691">
        <v>0</v>
      </c>
      <c r="E691" s="3">
        <f t="shared" si="13"/>
        <v>1.3734996816237047E-4</v>
      </c>
    </row>
    <row r="692" spans="1:5" hidden="1" x14ac:dyDescent="0.25">
      <c r="A692">
        <v>20936</v>
      </c>
      <c r="B692">
        <v>3</v>
      </c>
      <c r="C692" s="7">
        <v>0.70664666666666598</v>
      </c>
      <c r="D692">
        <v>12</v>
      </c>
      <c r="E692" s="3">
        <f t="shared" si="13"/>
        <v>3.1968624693581908E-4</v>
      </c>
    </row>
    <row r="693" spans="1:5" hidden="1" x14ac:dyDescent="0.25">
      <c r="A693">
        <v>21126</v>
      </c>
      <c r="B693">
        <v>6</v>
      </c>
      <c r="C693" s="7">
        <v>0.70089666666666595</v>
      </c>
      <c r="D693">
        <v>8</v>
      </c>
      <c r="E693" s="3">
        <f t="shared" si="13"/>
        <v>1.3417660333732943E-4</v>
      </c>
    </row>
    <row r="694" spans="1:5" hidden="1" x14ac:dyDescent="0.25">
      <c r="A694">
        <v>20947</v>
      </c>
      <c r="B694">
        <v>2</v>
      </c>
      <c r="C694" s="7">
        <v>0.69374999999999998</v>
      </c>
      <c r="D694">
        <v>12</v>
      </c>
      <c r="E694" s="3">
        <f t="shared" si="13"/>
        <v>6.9360965132390064E-5</v>
      </c>
    </row>
    <row r="695" spans="1:5" hidden="1" x14ac:dyDescent="0.25">
      <c r="A695">
        <v>20601</v>
      </c>
      <c r="B695">
        <v>2</v>
      </c>
      <c r="C695" s="7">
        <v>0.66828333333333301</v>
      </c>
      <c r="D695">
        <v>12</v>
      </c>
      <c r="E695" s="3">
        <f t="shared" si="13"/>
        <v>6.6814813667590229E-5</v>
      </c>
    </row>
    <row r="696" spans="1:5" hidden="1" x14ac:dyDescent="0.25">
      <c r="A696">
        <v>20965</v>
      </c>
      <c r="B696">
        <v>3</v>
      </c>
      <c r="C696" s="7">
        <v>0.66695666666666598</v>
      </c>
      <c r="D696">
        <v>12</v>
      </c>
      <c r="E696" s="3">
        <f t="shared" si="13"/>
        <v>3.0173053053693605E-4</v>
      </c>
    </row>
    <row r="697" spans="1:5" hidden="1" x14ac:dyDescent="0.25">
      <c r="A697">
        <v>20996</v>
      </c>
      <c r="B697">
        <v>2</v>
      </c>
      <c r="C697" s="7">
        <v>0.64554333333333302</v>
      </c>
      <c r="D697">
        <v>12</v>
      </c>
      <c r="E697" s="3">
        <f t="shared" si="13"/>
        <v>6.4541273707791232E-5</v>
      </c>
    </row>
    <row r="698" spans="1:5" hidden="1" x14ac:dyDescent="0.25">
      <c r="A698">
        <v>20985</v>
      </c>
      <c r="B698">
        <v>1</v>
      </c>
      <c r="C698" s="7">
        <v>0.64180000000000004</v>
      </c>
      <c r="D698">
        <v>12</v>
      </c>
      <c r="E698" s="3">
        <f t="shared" si="13"/>
        <v>3.9039936230634491E-4</v>
      </c>
    </row>
    <row r="699" spans="1:5" hidden="1" x14ac:dyDescent="0.25">
      <c r="A699">
        <v>20729</v>
      </c>
      <c r="B699">
        <v>2</v>
      </c>
      <c r="C699" s="7">
        <v>0.62634000000000001</v>
      </c>
      <c r="D699">
        <v>12</v>
      </c>
      <c r="E699" s="3">
        <f t="shared" si="13"/>
        <v>6.2621328866336855E-5</v>
      </c>
    </row>
    <row r="700" spans="1:5" hidden="1" x14ac:dyDescent="0.25">
      <c r="A700">
        <v>21065</v>
      </c>
      <c r="B700">
        <v>4</v>
      </c>
      <c r="C700" s="7">
        <v>0.60878333333333301</v>
      </c>
      <c r="D700">
        <v>11</v>
      </c>
      <c r="E700" s="3">
        <f t="shared" si="13"/>
        <v>1.6306852741402729E-4</v>
      </c>
    </row>
    <row r="701" spans="1:5" hidden="1" x14ac:dyDescent="0.25">
      <c r="A701">
        <v>21105</v>
      </c>
      <c r="B701">
        <v>3</v>
      </c>
      <c r="C701" s="7">
        <v>0.58042333333333296</v>
      </c>
      <c r="D701">
        <v>2</v>
      </c>
      <c r="E701" s="3">
        <f t="shared" si="13"/>
        <v>2.6258293687648419E-4</v>
      </c>
    </row>
    <row r="702" spans="1:5" hidden="1" x14ac:dyDescent="0.25">
      <c r="A702">
        <v>21028</v>
      </c>
      <c r="B702">
        <v>6</v>
      </c>
      <c r="C702" s="7">
        <v>0.57471000000000005</v>
      </c>
      <c r="D702">
        <v>12</v>
      </c>
      <c r="E702" s="3">
        <f t="shared" si="13"/>
        <v>1.100199777960565E-4</v>
      </c>
    </row>
    <row r="703" spans="1:5" hidden="1" x14ac:dyDescent="0.25">
      <c r="A703">
        <v>21179</v>
      </c>
      <c r="B703">
        <v>2</v>
      </c>
      <c r="C703" s="7">
        <v>0.56291000000000002</v>
      </c>
      <c r="D703">
        <v>0</v>
      </c>
      <c r="E703" s="3">
        <f t="shared" si="13"/>
        <v>5.627961208313325E-5</v>
      </c>
    </row>
    <row r="704" spans="1:5" hidden="1" x14ac:dyDescent="0.25">
      <c r="A704">
        <v>20586</v>
      </c>
      <c r="B704">
        <v>2</v>
      </c>
      <c r="C704" s="7">
        <v>0.53580666666666599</v>
      </c>
      <c r="D704">
        <v>12</v>
      </c>
      <c r="E704" s="3">
        <f t="shared" si="13"/>
        <v>5.3569827062153174E-5</v>
      </c>
    </row>
    <row r="705" spans="1:5" hidden="1" x14ac:dyDescent="0.25">
      <c r="A705">
        <v>21003</v>
      </c>
      <c r="B705">
        <v>2</v>
      </c>
      <c r="C705" s="7">
        <v>0.53235666666666603</v>
      </c>
      <c r="D705">
        <v>12</v>
      </c>
      <c r="E705" s="3">
        <f t="shared" si="13"/>
        <v>5.3224896857170483E-5</v>
      </c>
    </row>
    <row r="706" spans="1:5" hidden="1" x14ac:dyDescent="0.25">
      <c r="A706">
        <v>21153</v>
      </c>
      <c r="B706">
        <v>6</v>
      </c>
      <c r="C706" s="7">
        <v>0.52668666666666597</v>
      </c>
      <c r="D706">
        <v>0</v>
      </c>
      <c r="E706" s="3">
        <f t="shared" si="13"/>
        <v>1.0082660014989403E-4</v>
      </c>
    </row>
    <row r="707" spans="1:5" hidden="1" x14ac:dyDescent="0.25">
      <c r="A707">
        <v>20948</v>
      </c>
      <c r="B707">
        <v>2</v>
      </c>
      <c r="C707" s="7">
        <v>0.51928333333333299</v>
      </c>
      <c r="D707">
        <v>12</v>
      </c>
      <c r="E707" s="3">
        <f t="shared" ref="E707:E770" si="14">$C707/SUMIF($B$2:$B$781,B707,$C$2:$C$781)</f>
        <v>5.191782800312014E-5</v>
      </c>
    </row>
    <row r="708" spans="1:5" hidden="1" x14ac:dyDescent="0.25">
      <c r="A708">
        <v>21016</v>
      </c>
      <c r="B708">
        <v>2</v>
      </c>
      <c r="C708" s="7">
        <v>0.50522</v>
      </c>
      <c r="D708">
        <v>12</v>
      </c>
      <c r="E708" s="3">
        <f t="shared" si="14"/>
        <v>5.0511779177205204E-5</v>
      </c>
    </row>
    <row r="709" spans="1:5" hidden="1" x14ac:dyDescent="0.25">
      <c r="A709">
        <v>21171</v>
      </c>
      <c r="B709">
        <v>6</v>
      </c>
      <c r="C709" s="7">
        <v>0.476146666666666</v>
      </c>
      <c r="D709">
        <v>0</v>
      </c>
      <c r="E709" s="3">
        <f t="shared" si="14"/>
        <v>9.1151442804776158E-5</v>
      </c>
    </row>
    <row r="710" spans="1:5" hidden="1" x14ac:dyDescent="0.25">
      <c r="A710">
        <v>20956</v>
      </c>
      <c r="B710">
        <v>1</v>
      </c>
      <c r="C710" s="7">
        <v>0.47472666666666602</v>
      </c>
      <c r="D710">
        <v>12</v>
      </c>
      <c r="E710" s="3">
        <f t="shared" si="14"/>
        <v>2.8877062626438637E-4</v>
      </c>
    </row>
    <row r="711" spans="1:5" hidden="1" x14ac:dyDescent="0.25">
      <c r="A711">
        <v>21024</v>
      </c>
      <c r="B711">
        <v>2</v>
      </c>
      <c r="C711" s="7">
        <v>0.46880333333333302</v>
      </c>
      <c r="D711">
        <v>12</v>
      </c>
      <c r="E711" s="3">
        <f t="shared" si="14"/>
        <v>4.6870849235721151E-5</v>
      </c>
    </row>
    <row r="712" spans="1:5" hidden="1" x14ac:dyDescent="0.25">
      <c r="A712">
        <v>21080</v>
      </c>
      <c r="B712">
        <v>6</v>
      </c>
      <c r="C712" s="7">
        <v>0.44330999999999998</v>
      </c>
      <c r="D712">
        <v>12</v>
      </c>
      <c r="E712" s="3">
        <f t="shared" si="14"/>
        <v>8.4865334441317896E-5</v>
      </c>
    </row>
    <row r="713" spans="1:5" hidden="1" x14ac:dyDescent="0.25">
      <c r="A713">
        <v>20663</v>
      </c>
      <c r="B713">
        <v>2</v>
      </c>
      <c r="C713" s="7">
        <v>0.434406666666666</v>
      </c>
      <c r="D713">
        <v>12</v>
      </c>
      <c r="E713" s="3">
        <f t="shared" si="14"/>
        <v>4.3431878428748704E-5</v>
      </c>
    </row>
    <row r="714" spans="1:5" hidden="1" x14ac:dyDescent="0.25">
      <c r="A714">
        <v>21214</v>
      </c>
      <c r="B714">
        <v>6</v>
      </c>
      <c r="C714" s="7">
        <v>0.43391666666666601</v>
      </c>
      <c r="D714">
        <v>0</v>
      </c>
      <c r="E714" s="3">
        <f t="shared" si="14"/>
        <v>8.306711564442143E-5</v>
      </c>
    </row>
    <row r="715" spans="1:5" hidden="1" x14ac:dyDescent="0.25">
      <c r="A715">
        <v>20678</v>
      </c>
      <c r="B715">
        <v>2</v>
      </c>
      <c r="C715" s="7">
        <v>0.42539333333333301</v>
      </c>
      <c r="D715">
        <v>12</v>
      </c>
      <c r="E715" s="3">
        <f t="shared" si="14"/>
        <v>4.2530727439112786E-5</v>
      </c>
    </row>
    <row r="716" spans="1:5" hidden="1" x14ac:dyDescent="0.25">
      <c r="A716">
        <v>20970</v>
      </c>
      <c r="B716">
        <v>2</v>
      </c>
      <c r="C716" s="7">
        <v>0.42075333333333298</v>
      </c>
      <c r="D716">
        <v>12</v>
      </c>
      <c r="E716" s="3">
        <f t="shared" si="14"/>
        <v>4.2066821308353446E-5</v>
      </c>
    </row>
    <row r="717" spans="1:5" hidden="1" x14ac:dyDescent="0.25">
      <c r="A717">
        <v>20561</v>
      </c>
      <c r="B717">
        <v>2</v>
      </c>
      <c r="C717" s="7">
        <v>0.42044666666666602</v>
      </c>
      <c r="D717">
        <v>12</v>
      </c>
      <c r="E717" s="3">
        <f t="shared" si="14"/>
        <v>4.2036160845688292E-5</v>
      </c>
    </row>
    <row r="718" spans="1:5" hidden="1" x14ac:dyDescent="0.25">
      <c r="A718">
        <v>21196</v>
      </c>
      <c r="B718">
        <v>6</v>
      </c>
      <c r="C718" s="7">
        <v>0.41679666666666598</v>
      </c>
      <c r="D718">
        <v>0</v>
      </c>
      <c r="E718" s="3">
        <f t="shared" si="14"/>
        <v>7.9789737453910591E-5</v>
      </c>
    </row>
    <row r="719" spans="1:5" hidden="1" x14ac:dyDescent="0.25">
      <c r="A719">
        <v>21038</v>
      </c>
      <c r="B719">
        <v>2</v>
      </c>
      <c r="C719" s="7">
        <v>0.40838666666666601</v>
      </c>
      <c r="D719">
        <v>12</v>
      </c>
      <c r="E719" s="3">
        <f t="shared" si="14"/>
        <v>4.0830404824792253E-5</v>
      </c>
    </row>
    <row r="720" spans="1:5" hidden="1" x14ac:dyDescent="0.25">
      <c r="A720">
        <v>20987</v>
      </c>
      <c r="B720">
        <v>2</v>
      </c>
      <c r="C720" s="7">
        <v>0.40403999999999901</v>
      </c>
      <c r="D720">
        <v>0</v>
      </c>
      <c r="E720" s="3">
        <f t="shared" si="14"/>
        <v>4.0395826093103878E-5</v>
      </c>
    </row>
    <row r="721" spans="1:5" hidden="1" x14ac:dyDescent="0.25">
      <c r="A721">
        <v>21168</v>
      </c>
      <c r="B721">
        <v>6</v>
      </c>
      <c r="C721" s="7">
        <v>0.38326333333333301</v>
      </c>
      <c r="D721">
        <v>0</v>
      </c>
      <c r="E721" s="3">
        <f t="shared" si="14"/>
        <v>7.3370262259880463E-5</v>
      </c>
    </row>
    <row r="722" spans="1:5" hidden="1" x14ac:dyDescent="0.25">
      <c r="A722">
        <v>21163</v>
      </c>
      <c r="B722">
        <v>6</v>
      </c>
      <c r="C722" s="7">
        <v>0.37779999999999903</v>
      </c>
      <c r="D722">
        <v>0</v>
      </c>
      <c r="E722" s="3">
        <f t="shared" si="14"/>
        <v>7.232438553592253E-5</v>
      </c>
    </row>
    <row r="723" spans="1:5" hidden="1" x14ac:dyDescent="0.25">
      <c r="A723">
        <v>21064</v>
      </c>
      <c r="B723">
        <v>2</v>
      </c>
      <c r="C723" s="7">
        <v>0.37562999999999902</v>
      </c>
      <c r="D723">
        <v>0</v>
      </c>
      <c r="E723" s="3">
        <f t="shared" si="14"/>
        <v>3.7555400839898541E-5</v>
      </c>
    </row>
    <row r="724" spans="1:5" hidden="1" x14ac:dyDescent="0.25">
      <c r="A724">
        <v>21093</v>
      </c>
      <c r="B724">
        <v>2</v>
      </c>
      <c r="C724" s="7">
        <v>0.365763333333333</v>
      </c>
      <c r="D724">
        <v>2</v>
      </c>
      <c r="E724" s="3">
        <f t="shared" si="14"/>
        <v>3.6568933780237947E-5</v>
      </c>
    </row>
    <row r="725" spans="1:5" hidden="1" x14ac:dyDescent="0.25">
      <c r="A725">
        <v>20773</v>
      </c>
      <c r="B725">
        <v>2</v>
      </c>
      <c r="C725" s="7">
        <v>0.36179</v>
      </c>
      <c r="D725">
        <v>12</v>
      </c>
      <c r="E725" s="3">
        <f t="shared" si="14"/>
        <v>3.6171680829185445E-5</v>
      </c>
    </row>
    <row r="726" spans="1:5" x14ac:dyDescent="0.25">
      <c r="A726">
        <v>21176</v>
      </c>
      <c r="B726">
        <v>0</v>
      </c>
      <c r="C726" s="7">
        <v>0.36051666666666599</v>
      </c>
      <c r="D726">
        <v>8</v>
      </c>
      <c r="E726" s="3">
        <f t="shared" si="14"/>
        <v>8.668077431565821E-4</v>
      </c>
    </row>
    <row r="727" spans="1:5" hidden="1" x14ac:dyDescent="0.25">
      <c r="A727">
        <v>21159</v>
      </c>
      <c r="B727">
        <v>6</v>
      </c>
      <c r="C727" s="7">
        <v>0.35524</v>
      </c>
      <c r="D727">
        <v>0</v>
      </c>
      <c r="E727" s="3">
        <f t="shared" si="14"/>
        <v>6.8005597453100011E-5</v>
      </c>
    </row>
    <row r="728" spans="1:5" hidden="1" x14ac:dyDescent="0.25">
      <c r="A728">
        <v>21135</v>
      </c>
      <c r="B728">
        <v>6</v>
      </c>
      <c r="C728" s="7">
        <v>0.35503000000000001</v>
      </c>
      <c r="D728">
        <v>0</v>
      </c>
      <c r="E728" s="3">
        <f t="shared" si="14"/>
        <v>6.7965395968286511E-5</v>
      </c>
    </row>
    <row r="729" spans="1:5" hidden="1" x14ac:dyDescent="0.25">
      <c r="A729">
        <v>21055</v>
      </c>
      <c r="B729">
        <v>2</v>
      </c>
      <c r="C729" s="7">
        <v>0.35268333333333302</v>
      </c>
      <c r="D729">
        <v>12</v>
      </c>
      <c r="E729" s="3">
        <f t="shared" si="14"/>
        <v>3.5261198394390509E-5</v>
      </c>
    </row>
    <row r="730" spans="1:5" hidden="1" x14ac:dyDescent="0.25">
      <c r="A730">
        <v>20994</v>
      </c>
      <c r="B730">
        <v>2</v>
      </c>
      <c r="C730" s="7">
        <v>0.33915000000000001</v>
      </c>
      <c r="D730">
        <v>12</v>
      </c>
      <c r="E730" s="3">
        <f t="shared" si="14"/>
        <v>3.3908138846342472E-5</v>
      </c>
    </row>
    <row r="731" spans="1:5" hidden="1" x14ac:dyDescent="0.25">
      <c r="A731">
        <v>21048</v>
      </c>
      <c r="B731">
        <v>3</v>
      </c>
      <c r="C731" s="7">
        <v>0.33907666666666603</v>
      </c>
      <c r="D731">
        <v>12</v>
      </c>
      <c r="E731" s="3">
        <f t="shared" si="14"/>
        <v>1.5339794568267165E-4</v>
      </c>
    </row>
    <row r="732" spans="1:5" hidden="1" x14ac:dyDescent="0.25">
      <c r="A732">
        <v>20636</v>
      </c>
      <c r="B732">
        <v>2</v>
      </c>
      <c r="C732" s="7">
        <v>0.33379999999999899</v>
      </c>
      <c r="D732">
        <v>12</v>
      </c>
      <c r="E732" s="3">
        <f t="shared" si="14"/>
        <v>3.3373247079195293E-5</v>
      </c>
    </row>
    <row r="733" spans="1:5" hidden="1" x14ac:dyDescent="0.25">
      <c r="A733">
        <v>20982</v>
      </c>
      <c r="B733">
        <v>2</v>
      </c>
      <c r="C733" s="7">
        <v>0.33343666666666599</v>
      </c>
      <c r="D733">
        <v>12</v>
      </c>
      <c r="E733" s="3">
        <f t="shared" si="14"/>
        <v>3.3336921096255117E-5</v>
      </c>
    </row>
    <row r="734" spans="1:5" hidden="1" x14ac:dyDescent="0.25">
      <c r="A734">
        <v>21032</v>
      </c>
      <c r="B734">
        <v>2</v>
      </c>
      <c r="C734" s="7">
        <v>0.32164999999999999</v>
      </c>
      <c r="D734">
        <v>12</v>
      </c>
      <c r="E734" s="3">
        <f t="shared" si="14"/>
        <v>3.215849287903894E-5</v>
      </c>
    </row>
    <row r="735" spans="1:5" hidden="1" x14ac:dyDescent="0.25">
      <c r="A735">
        <v>21164</v>
      </c>
      <c r="B735">
        <v>3</v>
      </c>
      <c r="C735" s="7">
        <v>0.29704999999999998</v>
      </c>
      <c r="D735">
        <v>8</v>
      </c>
      <c r="E735" s="3">
        <f t="shared" si="14"/>
        <v>1.3438512361522279E-4</v>
      </c>
    </row>
    <row r="736" spans="1:5" hidden="1" x14ac:dyDescent="0.25">
      <c r="A736">
        <v>21201</v>
      </c>
      <c r="B736">
        <v>2</v>
      </c>
      <c r="C736" s="7">
        <v>0.29569333333333297</v>
      </c>
      <c r="D736">
        <v>3</v>
      </c>
      <c r="E736" s="3">
        <f t="shared" si="14"/>
        <v>2.9563351327154599E-5</v>
      </c>
    </row>
    <row r="737" spans="1:5" hidden="1" x14ac:dyDescent="0.25">
      <c r="A737">
        <v>20597</v>
      </c>
      <c r="B737">
        <v>2</v>
      </c>
      <c r="C737" s="7">
        <v>0.28532333333333298</v>
      </c>
      <c r="D737">
        <v>12</v>
      </c>
      <c r="E737" s="3">
        <f t="shared" si="14"/>
        <v>2.8526561116815305E-5</v>
      </c>
    </row>
    <row r="738" spans="1:5" hidden="1" x14ac:dyDescent="0.25">
      <c r="A738">
        <v>21049</v>
      </c>
      <c r="B738">
        <v>2</v>
      </c>
      <c r="C738" s="7">
        <v>0.284046666666666</v>
      </c>
      <c r="D738">
        <v>11</v>
      </c>
      <c r="E738" s="3">
        <f t="shared" si="14"/>
        <v>2.8398920277676748E-5</v>
      </c>
    </row>
    <row r="739" spans="1:5" hidden="1" x14ac:dyDescent="0.25">
      <c r="A739">
        <v>21155</v>
      </c>
      <c r="B739">
        <v>2</v>
      </c>
      <c r="C739" s="7">
        <v>0.28309333333333297</v>
      </c>
      <c r="D739">
        <v>12</v>
      </c>
      <c r="E739" s="3">
        <f t="shared" si="14"/>
        <v>2.8303606230696055E-5</v>
      </c>
    </row>
    <row r="740" spans="1:5" hidden="1" x14ac:dyDescent="0.25">
      <c r="A740">
        <v>21142</v>
      </c>
      <c r="B740">
        <v>2</v>
      </c>
      <c r="C740" s="7">
        <v>0.282453333333333</v>
      </c>
      <c r="D740">
        <v>4</v>
      </c>
      <c r="E740" s="3">
        <f t="shared" si="14"/>
        <v>2.8239619178177526E-5</v>
      </c>
    </row>
    <row r="741" spans="1:5" hidden="1" x14ac:dyDescent="0.25">
      <c r="A741">
        <v>21118</v>
      </c>
      <c r="B741">
        <v>2</v>
      </c>
      <c r="C741" s="7">
        <v>0.2707</v>
      </c>
      <c r="D741">
        <v>12</v>
      </c>
      <c r="E741" s="3">
        <f t="shared" si="14"/>
        <v>2.7064523619946654E-5</v>
      </c>
    </row>
    <row r="742" spans="1:5" hidden="1" x14ac:dyDescent="0.25">
      <c r="A742">
        <v>21227</v>
      </c>
      <c r="B742">
        <v>1</v>
      </c>
      <c r="C742" s="7">
        <v>0.25774666666666601</v>
      </c>
      <c r="D742">
        <v>0</v>
      </c>
      <c r="E742" s="3">
        <f t="shared" si="14"/>
        <v>1.5678425413407984E-4</v>
      </c>
    </row>
    <row r="743" spans="1:5" hidden="1" x14ac:dyDescent="0.25">
      <c r="A743">
        <v>20765</v>
      </c>
      <c r="B743">
        <v>2</v>
      </c>
      <c r="C743" s="7">
        <v>0.25150666666666599</v>
      </c>
      <c r="D743">
        <v>12</v>
      </c>
      <c r="E743" s="3">
        <f t="shared" si="14"/>
        <v>2.5145578576187778E-5</v>
      </c>
    </row>
    <row r="744" spans="1:5" hidden="1" x14ac:dyDescent="0.25">
      <c r="A744">
        <v>21184</v>
      </c>
      <c r="B744">
        <v>4</v>
      </c>
      <c r="C744" s="7">
        <v>0.22753000000000001</v>
      </c>
      <c r="D744">
        <v>12</v>
      </c>
      <c r="E744" s="3">
        <f t="shared" si="14"/>
        <v>6.0946119926378265E-5</v>
      </c>
    </row>
    <row r="745" spans="1:5" hidden="1" x14ac:dyDescent="0.25">
      <c r="A745">
        <v>21077</v>
      </c>
      <c r="B745">
        <v>1</v>
      </c>
      <c r="C745" s="7">
        <v>0.21731999999999899</v>
      </c>
      <c r="D745">
        <v>12</v>
      </c>
      <c r="E745" s="3">
        <f t="shared" si="14"/>
        <v>1.3219319011594652E-4</v>
      </c>
    </row>
    <row r="746" spans="1:5" hidden="1" x14ac:dyDescent="0.25">
      <c r="A746">
        <v>20991</v>
      </c>
      <c r="B746">
        <v>2</v>
      </c>
      <c r="C746" s="7">
        <v>0.19262000000000001</v>
      </c>
      <c r="D746">
        <v>12</v>
      </c>
      <c r="E746" s="3">
        <f t="shared" si="14"/>
        <v>1.925810321268609E-5</v>
      </c>
    </row>
    <row r="747" spans="1:5" hidden="1" x14ac:dyDescent="0.25">
      <c r="A747">
        <v>21167</v>
      </c>
      <c r="B747">
        <v>3</v>
      </c>
      <c r="C747" s="7">
        <v>0.19229666666666601</v>
      </c>
      <c r="D747">
        <v>12</v>
      </c>
      <c r="E747" s="3">
        <f t="shared" si="14"/>
        <v>8.6994820133968036E-5</v>
      </c>
    </row>
    <row r="748" spans="1:5" hidden="1" x14ac:dyDescent="0.25">
      <c r="A748">
        <v>21099</v>
      </c>
      <c r="B748">
        <v>2</v>
      </c>
      <c r="C748" s="7">
        <v>0.189126666666666</v>
      </c>
      <c r="D748">
        <v>0</v>
      </c>
      <c r="E748" s="3">
        <f t="shared" si="14"/>
        <v>1.8908840551022383E-5</v>
      </c>
    </row>
    <row r="749" spans="1:5" hidden="1" x14ac:dyDescent="0.25">
      <c r="A749">
        <v>21157</v>
      </c>
      <c r="B749">
        <v>2</v>
      </c>
      <c r="C749" s="7">
        <v>0.17451</v>
      </c>
      <c r="D749">
        <v>10</v>
      </c>
      <c r="E749" s="3">
        <f t="shared" si="14"/>
        <v>1.7447469585950834E-5</v>
      </c>
    </row>
    <row r="750" spans="1:5" hidden="1" x14ac:dyDescent="0.25">
      <c r="A750">
        <v>21088</v>
      </c>
      <c r="B750">
        <v>2</v>
      </c>
      <c r="C750" s="7">
        <v>0.16847999999999999</v>
      </c>
      <c r="D750">
        <v>12</v>
      </c>
      <c r="E750" s="3">
        <f t="shared" si="14"/>
        <v>1.6844591575502814E-5</v>
      </c>
    </row>
    <row r="751" spans="1:5" hidden="1" x14ac:dyDescent="0.25">
      <c r="A751">
        <v>21191</v>
      </c>
      <c r="B751">
        <v>2</v>
      </c>
      <c r="C751" s="7">
        <v>0.166523333333333</v>
      </c>
      <c r="D751">
        <v>4</v>
      </c>
      <c r="E751" s="3">
        <f t="shared" si="14"/>
        <v>1.6648964493063321E-5</v>
      </c>
    </row>
    <row r="752" spans="1:5" hidden="1" x14ac:dyDescent="0.25">
      <c r="A752">
        <v>21131</v>
      </c>
      <c r="B752">
        <v>2</v>
      </c>
      <c r="C752" s="7">
        <v>0.150526666666666</v>
      </c>
      <c r="D752">
        <v>12</v>
      </c>
      <c r="E752" s="3">
        <f t="shared" si="14"/>
        <v>1.5049621445998591E-5</v>
      </c>
    </row>
    <row r="753" spans="1:5" hidden="1" x14ac:dyDescent="0.25">
      <c r="A753">
        <v>21170</v>
      </c>
      <c r="B753">
        <v>6</v>
      </c>
      <c r="C753" s="7">
        <v>0.133723333333333</v>
      </c>
      <c r="D753">
        <v>12</v>
      </c>
      <c r="E753" s="3">
        <f t="shared" si="14"/>
        <v>2.5599412162913398E-5</v>
      </c>
    </row>
    <row r="754" spans="1:5" hidden="1" x14ac:dyDescent="0.25">
      <c r="A754">
        <v>21209</v>
      </c>
      <c r="B754">
        <v>2</v>
      </c>
      <c r="C754" s="7">
        <v>0.12308999999999901</v>
      </c>
      <c r="D754">
        <v>4</v>
      </c>
      <c r="E754" s="3">
        <f t="shared" si="14"/>
        <v>1.2306509835165153E-5</v>
      </c>
    </row>
    <row r="755" spans="1:5" hidden="1" x14ac:dyDescent="0.25">
      <c r="A755">
        <v>21190</v>
      </c>
      <c r="B755">
        <v>2</v>
      </c>
      <c r="C755" s="7">
        <v>0.120976666666666</v>
      </c>
      <c r="D755">
        <v>12</v>
      </c>
      <c r="E755" s="3">
        <f t="shared" si="14"/>
        <v>1.2095219255494625E-5</v>
      </c>
    </row>
    <row r="756" spans="1:5" hidden="1" x14ac:dyDescent="0.25">
      <c r="A756">
        <v>21226</v>
      </c>
      <c r="B756">
        <v>3</v>
      </c>
      <c r="C756" s="7">
        <v>0.11749333333333301</v>
      </c>
      <c r="D756">
        <v>4</v>
      </c>
      <c r="E756" s="3">
        <f t="shared" si="14"/>
        <v>5.315386676978466E-5</v>
      </c>
    </row>
    <row r="757" spans="1:5" hidden="1" x14ac:dyDescent="0.25">
      <c r="A757">
        <v>21207</v>
      </c>
      <c r="B757">
        <v>7</v>
      </c>
      <c r="C757" s="7">
        <v>0.116136666666666</v>
      </c>
      <c r="D757">
        <v>12</v>
      </c>
      <c r="E757" s="3">
        <f t="shared" si="14"/>
        <v>1.5686048080124783E-5</v>
      </c>
    </row>
    <row r="758" spans="1:5" hidden="1" x14ac:dyDescent="0.25">
      <c r="A758">
        <v>21252</v>
      </c>
      <c r="B758">
        <v>2</v>
      </c>
      <c r="C758" s="7">
        <v>0.10188999999999999</v>
      </c>
      <c r="D758">
        <v>0</v>
      </c>
      <c r="E758" s="3">
        <f t="shared" si="14"/>
        <v>1.0186938720488971E-5</v>
      </c>
    </row>
    <row r="759" spans="1:5" hidden="1" x14ac:dyDescent="0.25">
      <c r="A759">
        <v>21200</v>
      </c>
      <c r="B759">
        <v>2</v>
      </c>
      <c r="C759" s="7">
        <v>0.10092</v>
      </c>
      <c r="D759">
        <v>12</v>
      </c>
      <c r="E759" s="3">
        <f t="shared" si="14"/>
        <v>1.0089958344015576E-5</v>
      </c>
    </row>
    <row r="760" spans="1:5" hidden="1" x14ac:dyDescent="0.25">
      <c r="A760">
        <v>21212</v>
      </c>
      <c r="B760">
        <v>2</v>
      </c>
      <c r="C760" s="7">
        <v>9.81599999999999E-2</v>
      </c>
      <c r="D760">
        <v>12</v>
      </c>
      <c r="E760" s="3">
        <f t="shared" si="14"/>
        <v>9.8140141800294087E-6</v>
      </c>
    </row>
    <row r="761" spans="1:5" hidden="1" x14ac:dyDescent="0.25">
      <c r="A761">
        <v>21194</v>
      </c>
      <c r="B761">
        <v>2</v>
      </c>
      <c r="C761" s="7">
        <v>8.95666666666666E-2</v>
      </c>
      <c r="D761">
        <v>12</v>
      </c>
      <c r="E761" s="3">
        <f t="shared" si="14"/>
        <v>8.9548546936087434E-6</v>
      </c>
    </row>
    <row r="762" spans="1:5" hidden="1" x14ac:dyDescent="0.25">
      <c r="A762">
        <v>21182</v>
      </c>
      <c r="B762">
        <v>2</v>
      </c>
      <c r="C762" s="7">
        <v>8.8733333333333303E-2</v>
      </c>
      <c r="D762">
        <v>12</v>
      </c>
      <c r="E762" s="3">
        <f t="shared" si="14"/>
        <v>8.8715382189752458E-6</v>
      </c>
    </row>
    <row r="763" spans="1:5" hidden="1" x14ac:dyDescent="0.25">
      <c r="A763">
        <v>21266</v>
      </c>
      <c r="B763">
        <v>2</v>
      </c>
      <c r="C763" s="7">
        <v>7.8883333333333305E-2</v>
      </c>
      <c r="D763">
        <v>0</v>
      </c>
      <c r="E763" s="3">
        <f t="shared" si="14"/>
        <v>7.886737488807257E-6</v>
      </c>
    </row>
    <row r="764" spans="1:5" hidden="1" x14ac:dyDescent="0.25">
      <c r="A764">
        <v>21265</v>
      </c>
      <c r="B764">
        <v>2</v>
      </c>
      <c r="C764" s="7">
        <v>7.5093333333333304E-2</v>
      </c>
      <c r="D764">
        <v>0</v>
      </c>
      <c r="E764" s="3">
        <f t="shared" si="14"/>
        <v>7.5078141621740914E-6</v>
      </c>
    </row>
    <row r="765" spans="1:5" hidden="1" x14ac:dyDescent="0.25">
      <c r="A765">
        <v>21224</v>
      </c>
      <c r="B765">
        <v>2</v>
      </c>
      <c r="C765" s="7">
        <v>6.8896666666666606E-2</v>
      </c>
      <c r="D765">
        <v>12</v>
      </c>
      <c r="E765" s="3">
        <f t="shared" si="14"/>
        <v>6.8882728567993708E-6</v>
      </c>
    </row>
    <row r="766" spans="1:5" hidden="1" x14ac:dyDescent="0.25">
      <c r="A766">
        <v>21180</v>
      </c>
      <c r="B766">
        <v>2</v>
      </c>
      <c r="C766" s="7">
        <v>6.5703333333333294E-2</v>
      </c>
      <c r="D766">
        <v>12</v>
      </c>
      <c r="E766" s="3">
        <f t="shared" si="14"/>
        <v>6.5690041260037948E-6</v>
      </c>
    </row>
    <row r="767" spans="1:5" hidden="1" x14ac:dyDescent="0.25">
      <c r="A767">
        <v>21267</v>
      </c>
      <c r="B767">
        <v>2</v>
      </c>
      <c r="C767" s="7">
        <v>5.0990000000000001E-2</v>
      </c>
      <c r="D767">
        <v>0</v>
      </c>
      <c r="E767" s="3">
        <f t="shared" si="14"/>
        <v>5.0979684498746949E-6</v>
      </c>
    </row>
    <row r="768" spans="1:5" hidden="1" x14ac:dyDescent="0.25">
      <c r="A768">
        <v>21202</v>
      </c>
      <c r="B768">
        <v>3</v>
      </c>
      <c r="C768" s="7">
        <v>4.1943333333333298E-2</v>
      </c>
      <c r="D768">
        <v>12</v>
      </c>
      <c r="E768" s="3">
        <f t="shared" si="14"/>
        <v>1.8975122150595828E-5</v>
      </c>
    </row>
    <row r="769" spans="1:5" hidden="1" x14ac:dyDescent="0.25">
      <c r="A769">
        <v>21222</v>
      </c>
      <c r="B769">
        <v>2</v>
      </c>
      <c r="C769" s="7">
        <v>3.8829999999999899E-2</v>
      </c>
      <c r="D769">
        <v>12</v>
      </c>
      <c r="E769" s="3">
        <f t="shared" si="14"/>
        <v>3.8822144520226295E-6</v>
      </c>
    </row>
    <row r="770" spans="1:5" hidden="1" x14ac:dyDescent="0.25">
      <c r="A770">
        <v>21233</v>
      </c>
      <c r="B770">
        <v>2</v>
      </c>
      <c r="C770" s="7">
        <v>3.7159999999999999E-2</v>
      </c>
      <c r="D770">
        <v>4</v>
      </c>
      <c r="E770" s="3">
        <f t="shared" si="14"/>
        <v>3.7152482368571026E-6</v>
      </c>
    </row>
    <row r="771" spans="1:5" hidden="1" x14ac:dyDescent="0.25">
      <c r="A771">
        <v>21218</v>
      </c>
      <c r="B771">
        <v>2</v>
      </c>
      <c r="C771" s="7">
        <v>3.4810000000000001E-2</v>
      </c>
      <c r="D771">
        <v>12</v>
      </c>
      <c r="E771" s="3">
        <f t="shared" ref="E771:E781" si="15">$C771/SUMIF($B$2:$B$781,B771,$C$2:$C$781)</f>
        <v>3.480295778390628E-6</v>
      </c>
    </row>
    <row r="772" spans="1:5" hidden="1" x14ac:dyDescent="0.25">
      <c r="A772">
        <v>21192</v>
      </c>
      <c r="B772">
        <v>2</v>
      </c>
      <c r="C772" s="7">
        <v>3.2279999999999899E-2</v>
      </c>
      <c r="D772">
        <v>12</v>
      </c>
      <c r="E772" s="3">
        <f t="shared" si="15"/>
        <v>3.2273469614033071E-6</v>
      </c>
    </row>
    <row r="773" spans="1:5" hidden="1" x14ac:dyDescent="0.25">
      <c r="A773">
        <v>21245</v>
      </c>
      <c r="B773">
        <v>2</v>
      </c>
      <c r="C773" s="7">
        <v>2.5946666666666601E-2</v>
      </c>
      <c r="D773">
        <v>4</v>
      </c>
      <c r="E773" s="3">
        <f t="shared" si="15"/>
        <v>2.5941417541886985E-6</v>
      </c>
    </row>
    <row r="774" spans="1:5" hidden="1" x14ac:dyDescent="0.25">
      <c r="A774">
        <v>21246</v>
      </c>
      <c r="B774">
        <v>3</v>
      </c>
      <c r="C774" s="7">
        <v>2.2583333333333299E-2</v>
      </c>
      <c r="D774">
        <v>3</v>
      </c>
      <c r="E774" s="3">
        <f t="shared" si="15"/>
        <v>1.0216677467240455E-5</v>
      </c>
    </row>
    <row r="775" spans="1:5" hidden="1" x14ac:dyDescent="0.25">
      <c r="A775">
        <v>21259</v>
      </c>
      <c r="B775">
        <v>3</v>
      </c>
      <c r="C775" s="7">
        <v>2.1173333333333301E-2</v>
      </c>
      <c r="D775">
        <v>3</v>
      </c>
      <c r="E775" s="3">
        <f t="shared" si="15"/>
        <v>9.5787948740828588E-6</v>
      </c>
    </row>
    <row r="776" spans="1:5" hidden="1" x14ac:dyDescent="0.25">
      <c r="A776">
        <v>21276</v>
      </c>
      <c r="B776">
        <v>2</v>
      </c>
      <c r="C776" s="7">
        <v>2.104E-2</v>
      </c>
      <c r="D776">
        <v>0</v>
      </c>
      <c r="E776" s="3">
        <f t="shared" si="15"/>
        <v>2.1035743515466478E-6</v>
      </c>
    </row>
    <row r="777" spans="1:5" hidden="1" x14ac:dyDescent="0.25">
      <c r="A777">
        <v>21262</v>
      </c>
      <c r="B777">
        <v>2</v>
      </c>
      <c r="C777" s="7">
        <v>2.0696666666666599E-2</v>
      </c>
      <c r="D777">
        <v>3</v>
      </c>
      <c r="E777" s="3">
        <f t="shared" si="15"/>
        <v>2.0692479639976384E-6</v>
      </c>
    </row>
    <row r="778" spans="1:5" hidden="1" x14ac:dyDescent="0.25">
      <c r="A778">
        <v>21263</v>
      </c>
      <c r="B778">
        <v>3</v>
      </c>
      <c r="C778" s="7">
        <v>2.0229999999999901E-2</v>
      </c>
      <c r="D778">
        <v>3</v>
      </c>
      <c r="E778" s="3">
        <f t="shared" si="15"/>
        <v>9.152031815303633E-6</v>
      </c>
    </row>
    <row r="779" spans="1:5" hidden="1" x14ac:dyDescent="0.25">
      <c r="A779">
        <v>21248</v>
      </c>
      <c r="B779">
        <v>2</v>
      </c>
      <c r="C779" s="7">
        <v>1.78766666666666E-2</v>
      </c>
      <c r="D779">
        <v>3</v>
      </c>
      <c r="E779" s="3">
        <f t="shared" si="15"/>
        <v>1.7873050138378692E-6</v>
      </c>
    </row>
    <row r="780" spans="1:5" hidden="1" x14ac:dyDescent="0.25">
      <c r="A780">
        <v>21244</v>
      </c>
      <c r="B780">
        <v>3</v>
      </c>
      <c r="C780" s="7">
        <v>1.78733333333333E-2</v>
      </c>
      <c r="D780">
        <v>3</v>
      </c>
      <c r="E780" s="3">
        <f t="shared" si="15"/>
        <v>8.085878166692738E-6</v>
      </c>
    </row>
    <row r="781" spans="1:5" hidden="1" x14ac:dyDescent="0.25">
      <c r="A781">
        <v>21256</v>
      </c>
      <c r="B781">
        <v>3</v>
      </c>
      <c r="C781" s="7">
        <v>1.6E-2</v>
      </c>
      <c r="D781">
        <v>3</v>
      </c>
      <c r="E781" s="3">
        <f t="shared" si="15"/>
        <v>7.2383840358308866E-6</v>
      </c>
    </row>
  </sheetData>
  <autoFilter ref="A1:F781" xr:uid="{0955285B-9522-4FC9-9747-347A06D07D7E}">
    <filterColumn colId="1">
      <filters blank="1"/>
    </filterColumn>
  </autoFilter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5535F8D-4B15-4E97-83A0-C6E2C163A324}">
            <xm:f>IF(ISERROR(VLOOKUP($A2,'33 magicos'!$A$2:$A$34,1,0)),FALSE,TRUE)</xm:f>
            <x14:dxf>
              <font>
                <b/>
                <i val="0"/>
                <color auto="1"/>
              </font>
              <fill>
                <patternFill>
                  <bgColor rgb="FFFFC000"/>
                </patternFill>
              </fill>
            </x14:dxf>
          </x14:cfRule>
          <xm:sqref>A2:E781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03E4-4F69-471D-B62D-5911C39BA076}">
  <dimension ref="A1:I34"/>
  <sheetViews>
    <sheetView workbookViewId="0">
      <selection activeCell="E6" sqref="E6:F6"/>
      <pivotSelection pane="bottomRight" showHeader="1" extendable="1" axis="axisRow" start="4" max="7" activeRow="5" activeCol="4" previousRow="5" previousCol="4" click="1" r:id="rId1">
        <pivotArea dataOnly="0" fieldPosition="0">
          <references count="1">
            <reference field="1" count="1">
              <x v="4"/>
            </reference>
          </references>
        </pivotArea>
      </pivotSelection>
    </sheetView>
  </sheetViews>
  <sheetFormatPr baseColWidth="10" defaultRowHeight="15" x14ac:dyDescent="0.25"/>
  <cols>
    <col min="1" max="1" width="13.140625" bestFit="1" customWidth="1"/>
    <col min="2" max="2" width="14.7109375" bestFit="1" customWidth="1"/>
    <col min="3" max="3" width="22.140625" bestFit="1" customWidth="1"/>
    <col min="5" max="5" width="17.85546875" bestFit="1" customWidth="1"/>
    <col min="6" max="6" width="20.7109375" bestFit="1" customWidth="1"/>
    <col min="8" max="8" width="19.85546875" bestFit="1" customWidth="1"/>
  </cols>
  <sheetData>
    <row r="1" spans="1:9" x14ac:dyDescent="0.25">
      <c r="A1" s="9" t="s">
        <v>9</v>
      </c>
      <c r="B1" s="9" t="s">
        <v>8</v>
      </c>
      <c r="C1" s="9" t="s">
        <v>6</v>
      </c>
      <c r="E1" s="1" t="s">
        <v>2</v>
      </c>
      <c r="F1" t="s">
        <v>7</v>
      </c>
      <c r="H1" s="9" t="s">
        <v>6</v>
      </c>
    </row>
    <row r="2" spans="1:9" x14ac:dyDescent="0.25">
      <c r="A2">
        <v>20001</v>
      </c>
      <c r="B2">
        <f>VLOOKUP(A2,'780 a pred'!$A$2:$B$781,2,0)</f>
        <v>4</v>
      </c>
      <c r="C2" s="7">
        <v>1487.8554633333299</v>
      </c>
      <c r="E2" s="2">
        <v>1</v>
      </c>
      <c r="F2">
        <v>2</v>
      </c>
      <c r="G2" s="3">
        <f t="shared" ref="G2:G8" si="0">F2/F$8</f>
        <v>6.0606060606060608E-2</v>
      </c>
      <c r="H2" s="7">
        <f>SUMIF($B$2:$B$34,E2,$C$2:$C$34)</f>
        <v>376.04217999999997</v>
      </c>
      <c r="I2" s="3">
        <f>H2/H$8</f>
        <v>4.1771544836612162E-2</v>
      </c>
    </row>
    <row r="3" spans="1:9" x14ac:dyDescent="0.25">
      <c r="A3">
        <v>20002</v>
      </c>
      <c r="B3">
        <f>VLOOKUP(A3,'780 a pred'!$A$2:$B$781,2,0)</f>
        <v>7</v>
      </c>
      <c r="C3" s="7">
        <v>1496.8074300000001</v>
      </c>
      <c r="E3" s="2">
        <v>2</v>
      </c>
      <c r="F3" s="5">
        <v>14</v>
      </c>
      <c r="G3" s="6">
        <f t="shared" si="0"/>
        <v>0.42424242424242425</v>
      </c>
      <c r="H3" s="7">
        <f t="shared" ref="H3:H7" si="1">SUMIF($B$2:$B$34,E3,$C$2:$C$34)</f>
        <v>2203.546909999995</v>
      </c>
      <c r="I3" s="3">
        <f t="shared" ref="I3:I8" si="2">H3/H$8</f>
        <v>0.24477455840364234</v>
      </c>
    </row>
    <row r="4" spans="1:9" x14ac:dyDescent="0.25">
      <c r="A4">
        <v>20003</v>
      </c>
      <c r="B4">
        <f>VLOOKUP(A4,'780 a pred'!$A$2:$B$781,2,0)</f>
        <v>7</v>
      </c>
      <c r="C4" s="7">
        <v>974.05389000000002</v>
      </c>
      <c r="E4" s="2">
        <v>3</v>
      </c>
      <c r="F4">
        <v>2</v>
      </c>
      <c r="G4" s="3">
        <f t="shared" si="0"/>
        <v>6.0606060606060608E-2</v>
      </c>
      <c r="H4" s="7">
        <f t="shared" si="1"/>
        <v>512.81665666666606</v>
      </c>
      <c r="I4" s="3">
        <f t="shared" si="2"/>
        <v>5.6964737218875787E-2</v>
      </c>
    </row>
    <row r="5" spans="1:9" x14ac:dyDescent="0.25">
      <c r="A5">
        <v>20006</v>
      </c>
      <c r="B5">
        <f>VLOOKUP(A5,'780 a pred'!$A$2:$B$781,2,0)</f>
        <v>2</v>
      </c>
      <c r="C5" s="7">
        <v>448.39092666666602</v>
      </c>
      <c r="E5" s="2">
        <v>4</v>
      </c>
      <c r="F5">
        <v>5</v>
      </c>
      <c r="G5" s="3">
        <f t="shared" si="0"/>
        <v>0.15151515151515152</v>
      </c>
      <c r="H5" s="7">
        <f t="shared" si="1"/>
        <v>2089.0613399999957</v>
      </c>
      <c r="I5" s="3">
        <f t="shared" si="2"/>
        <v>0.23205726397566068</v>
      </c>
    </row>
    <row r="6" spans="1:9" x14ac:dyDescent="0.25">
      <c r="A6">
        <v>20008</v>
      </c>
      <c r="B6">
        <f>VLOOKUP(A6,'780 a pred'!$A$2:$B$781,2,0)</f>
        <v>3</v>
      </c>
      <c r="C6" s="7">
        <v>348.21294666666603</v>
      </c>
      <c r="E6" s="2">
        <v>6</v>
      </c>
      <c r="F6">
        <v>1</v>
      </c>
      <c r="G6" s="3">
        <f t="shared" si="0"/>
        <v>3.0303030303030304E-2</v>
      </c>
      <c r="H6" s="7">
        <f t="shared" si="1"/>
        <v>179.58668</v>
      </c>
      <c r="I6" s="3">
        <f t="shared" si="2"/>
        <v>1.9948860672168004E-2</v>
      </c>
    </row>
    <row r="7" spans="1:9" x14ac:dyDescent="0.25">
      <c r="A7">
        <v>20010</v>
      </c>
      <c r="B7">
        <f>VLOOKUP(A7,'780 a pred'!$A$2:$B$781,2,0)</f>
        <v>4</v>
      </c>
      <c r="C7" s="7">
        <v>426.46244666666598</v>
      </c>
      <c r="E7" s="2">
        <v>7</v>
      </c>
      <c r="F7">
        <v>9</v>
      </c>
      <c r="G7" s="3">
        <f t="shared" si="0"/>
        <v>0.27272727272727271</v>
      </c>
      <c r="H7" s="7">
        <f t="shared" si="1"/>
        <v>3641.2989466666645</v>
      </c>
      <c r="I7" s="3">
        <f t="shared" si="2"/>
        <v>0.40448303489304105</v>
      </c>
    </row>
    <row r="8" spans="1:9" x14ac:dyDescent="0.25">
      <c r="A8">
        <v>20011</v>
      </c>
      <c r="B8">
        <f>VLOOKUP(A8,'780 a pred'!$A$2:$B$781,2,0)</f>
        <v>1</v>
      </c>
      <c r="C8" s="7">
        <v>370.07333999999997</v>
      </c>
      <c r="E8" s="2" t="s">
        <v>3</v>
      </c>
      <c r="F8">
        <v>33</v>
      </c>
      <c r="G8" s="4">
        <f t="shared" si="0"/>
        <v>1</v>
      </c>
      <c r="H8" s="8">
        <f>SUM(H2:H7)</f>
        <v>9002.3527133333209</v>
      </c>
      <c r="I8" s="4">
        <f t="shared" si="2"/>
        <v>1</v>
      </c>
    </row>
    <row r="9" spans="1:9" x14ac:dyDescent="0.25">
      <c r="A9">
        <v>20017</v>
      </c>
      <c r="B9">
        <f>VLOOKUP(A9,'780 a pred'!$A$2:$B$781,2,0)</f>
        <v>2</v>
      </c>
      <c r="C9" s="7">
        <v>245.29899</v>
      </c>
    </row>
    <row r="10" spans="1:9" x14ac:dyDescent="0.25">
      <c r="A10">
        <v>20018</v>
      </c>
      <c r="B10">
        <f>VLOOKUP(A10,'780 a pred'!$A$2:$B$781,2,0)</f>
        <v>2</v>
      </c>
      <c r="C10" s="7">
        <v>224.56842333333299</v>
      </c>
    </row>
    <row r="11" spans="1:9" x14ac:dyDescent="0.25">
      <c r="A11">
        <v>20019</v>
      </c>
      <c r="B11">
        <f>VLOOKUP(A11,'780 a pred'!$A$2:$B$781,2,0)</f>
        <v>7</v>
      </c>
      <c r="C11" s="7">
        <v>394.184233333333</v>
      </c>
    </row>
    <row r="12" spans="1:9" x14ac:dyDescent="0.25">
      <c r="A12">
        <v>20021</v>
      </c>
      <c r="B12">
        <f>VLOOKUP(A12,'780 a pred'!$A$2:$B$781,2,0)</f>
        <v>2</v>
      </c>
      <c r="C12" s="7">
        <v>244.768206666666</v>
      </c>
    </row>
    <row r="13" spans="1:9" x14ac:dyDescent="0.25">
      <c r="A13">
        <v>20026</v>
      </c>
      <c r="B13">
        <f>VLOOKUP(A13,'780 a pred'!$A$2:$B$781,2,0)</f>
        <v>7</v>
      </c>
      <c r="C13" s="7">
        <v>306.54185333333299</v>
      </c>
    </row>
    <row r="14" spans="1:9" x14ac:dyDescent="0.25">
      <c r="A14">
        <v>20028</v>
      </c>
      <c r="B14">
        <f>VLOOKUP(A14,'780 a pred'!$A$2:$B$781,2,0)</f>
        <v>2</v>
      </c>
      <c r="C14" s="7">
        <v>171.26382000000001</v>
      </c>
    </row>
    <row r="15" spans="1:9" x14ac:dyDescent="0.25">
      <c r="A15">
        <v>20035</v>
      </c>
      <c r="B15">
        <f>VLOOKUP(A15,'780 a pred'!$A$2:$B$781,2,0)</f>
        <v>2</v>
      </c>
      <c r="C15" s="7">
        <v>168.89314999999999</v>
      </c>
    </row>
    <row r="16" spans="1:9" x14ac:dyDescent="0.25">
      <c r="A16">
        <v>20039</v>
      </c>
      <c r="B16">
        <f>VLOOKUP(A16,'780 a pred'!$A$2:$B$781,2,0)</f>
        <v>2</v>
      </c>
      <c r="C16" s="7">
        <v>148.752266666666</v>
      </c>
    </row>
    <row r="17" spans="1:3" x14ac:dyDescent="0.25">
      <c r="A17">
        <v>20042</v>
      </c>
      <c r="B17">
        <f>VLOOKUP(A17,'780 a pred'!$A$2:$B$781,2,0)</f>
        <v>7</v>
      </c>
      <c r="C17" s="7">
        <v>181.32715666666601</v>
      </c>
    </row>
    <row r="18" spans="1:3" x14ac:dyDescent="0.25">
      <c r="A18">
        <v>20044</v>
      </c>
      <c r="B18">
        <f>VLOOKUP(A18,'780 a pred'!$A$2:$B$781,2,0)</f>
        <v>3</v>
      </c>
      <c r="C18" s="7">
        <v>164.60371000000001</v>
      </c>
    </row>
    <row r="19" spans="1:3" x14ac:dyDescent="0.25">
      <c r="A19">
        <v>20045</v>
      </c>
      <c r="B19">
        <f>VLOOKUP(A19,'780 a pred'!$A$2:$B$781,2,0)</f>
        <v>4</v>
      </c>
      <c r="C19" s="7">
        <v>167.93541999999999</v>
      </c>
    </row>
    <row r="20" spans="1:3" x14ac:dyDescent="0.25">
      <c r="A20">
        <v>20046</v>
      </c>
      <c r="B20">
        <f>VLOOKUP(A20,'780 a pred'!$A$2:$B$781,2,0)</f>
        <v>7</v>
      </c>
      <c r="C20" s="7">
        <v>180.38458</v>
      </c>
    </row>
    <row r="21" spans="1:3" x14ac:dyDescent="0.25">
      <c r="A21">
        <v>20049</v>
      </c>
      <c r="B21">
        <f>VLOOKUP(A21,'780 a pred'!$A$2:$B$781,2,0)</f>
        <v>6</v>
      </c>
      <c r="C21" s="7">
        <v>179.58668</v>
      </c>
    </row>
    <row r="22" spans="1:3" x14ac:dyDescent="0.25">
      <c r="A22">
        <v>20051</v>
      </c>
      <c r="B22">
        <f>VLOOKUP(A22,'780 a pred'!$A$2:$B$781,2,0)</f>
        <v>2</v>
      </c>
      <c r="C22" s="7">
        <v>136.74148666666599</v>
      </c>
    </row>
    <row r="23" spans="1:3" x14ac:dyDescent="0.25">
      <c r="A23">
        <v>20052</v>
      </c>
      <c r="B23">
        <f>VLOOKUP(A23,'780 a pred'!$A$2:$B$781,2,0)</f>
        <v>2</v>
      </c>
      <c r="C23" s="7">
        <v>114.652546666666</v>
      </c>
    </row>
    <row r="24" spans="1:3" x14ac:dyDescent="0.25">
      <c r="A24">
        <v>20053</v>
      </c>
      <c r="B24">
        <f>VLOOKUP(A24,'780 a pred'!$A$2:$B$781,2,0)</f>
        <v>2</v>
      </c>
      <c r="C24" s="7">
        <v>157.45154666666599</v>
      </c>
    </row>
    <row r="25" spans="1:3" x14ac:dyDescent="0.25">
      <c r="A25">
        <v>20055</v>
      </c>
      <c r="B25">
        <f>VLOOKUP(A25,'780 a pred'!$A$2:$B$781,2,0)</f>
        <v>7</v>
      </c>
      <c r="C25" s="7">
        <v>98.7124799999999</v>
      </c>
    </row>
    <row r="26" spans="1:3" x14ac:dyDescent="0.25">
      <c r="A26">
        <v>20086</v>
      </c>
      <c r="B26">
        <f>VLOOKUP(A26,'780 a pred'!$A$2:$B$781,2,0)</f>
        <v>2</v>
      </c>
      <c r="C26" s="7">
        <v>54.668999999999997</v>
      </c>
    </row>
    <row r="27" spans="1:3" x14ac:dyDescent="0.25">
      <c r="A27">
        <v>20180</v>
      </c>
      <c r="B27">
        <f>VLOOKUP(A27,'780 a pred'!$A$2:$B$781,2,0)</f>
        <v>2</v>
      </c>
      <c r="C27" s="7">
        <v>37.038730000000001</v>
      </c>
    </row>
    <row r="28" spans="1:3" x14ac:dyDescent="0.25">
      <c r="A28">
        <v>20193</v>
      </c>
      <c r="B28">
        <f>VLOOKUP(A28,'780 a pred'!$A$2:$B$781,2,0)</f>
        <v>2</v>
      </c>
      <c r="C28" s="7">
        <v>35.864366666666598</v>
      </c>
    </row>
    <row r="29" spans="1:3" x14ac:dyDescent="0.25">
      <c r="A29">
        <v>20320</v>
      </c>
      <c r="B29">
        <f>VLOOKUP(A29,'780 a pred'!$A$2:$B$781,2,0)</f>
        <v>2</v>
      </c>
      <c r="C29" s="7">
        <v>15.193449999999901</v>
      </c>
    </row>
    <row r="30" spans="1:3" x14ac:dyDescent="0.25">
      <c r="A30">
        <v>20532</v>
      </c>
      <c r="B30">
        <f>VLOOKUP(A30,'780 a pred'!$A$2:$B$781,2,0)</f>
        <v>1</v>
      </c>
      <c r="C30" s="7">
        <v>5.9688400000000001</v>
      </c>
    </row>
    <row r="31" spans="1:3" x14ac:dyDescent="0.25">
      <c r="A31">
        <v>20612</v>
      </c>
      <c r="B31">
        <f>VLOOKUP(A31,'780 a pred'!$A$2:$B$781,2,0)</f>
        <v>7</v>
      </c>
      <c r="C31" s="7">
        <v>6.8226799999999903</v>
      </c>
    </row>
    <row r="32" spans="1:3" x14ac:dyDescent="0.25">
      <c r="A32">
        <v>20637</v>
      </c>
      <c r="B32">
        <f>VLOOKUP(A32,'780 a pred'!$A$2:$B$781,2,0)</f>
        <v>4</v>
      </c>
      <c r="C32" s="7">
        <v>5.0585033333333298</v>
      </c>
    </row>
    <row r="33" spans="1:3" x14ac:dyDescent="0.25">
      <c r="A33">
        <v>20807</v>
      </c>
      <c r="B33">
        <f>VLOOKUP(A33,'780 a pred'!$A$2:$B$781,2,0)</f>
        <v>7</v>
      </c>
      <c r="C33" s="7">
        <v>2.46464333333333</v>
      </c>
    </row>
    <row r="34" spans="1:3" x14ac:dyDescent="0.25">
      <c r="A34">
        <v>20838</v>
      </c>
      <c r="B34">
        <f>VLOOKUP(A34,'780 a pred'!$A$2:$B$781,2,0)</f>
        <v>4</v>
      </c>
      <c r="C34" s="7">
        <v>1.7495066666666601</v>
      </c>
    </row>
  </sheetData>
  <autoFilter ref="A1:C1" xr:uid="{4D4B03E4-4F69-471D-B62D-5911C39BA076}"/>
  <sortState xmlns:xlrd2="http://schemas.microsoft.com/office/spreadsheetml/2017/richdata2" ref="A2:C34">
    <sortCondition ref="A2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780 a pred</vt:lpstr>
      <vt:lpstr>33 magicos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A. Cicconi</dc:creator>
  <cp:lastModifiedBy>PROVSER 1</cp:lastModifiedBy>
  <dcterms:created xsi:type="dcterms:W3CDTF">2025-08-07T03:58:10Z</dcterms:created>
  <dcterms:modified xsi:type="dcterms:W3CDTF">2025-08-09T13:04:19Z</dcterms:modified>
</cp:coreProperties>
</file>